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rmal User" sheetId="1" state="visible" r:id="rId3"/>
    <sheet name="Disaster Management" sheetId="2" state="visible" r:id="rId4"/>
    <sheet name="Application Management" sheetId="3" state="visible" r:id="rId5"/>
    <sheet name="External Parties" sheetId="4" state="visible" r:id="rId6"/>
    <sheet name="Epics" sheetId="5" state="visible" r:id="rId7"/>
    <sheet name="Coverage" sheetId="6" state="visible" r:id="rId8"/>
    <sheet name="Notes" sheetId="7" state="visible" r:id="rId9"/>
    <sheet name="Change Log" sheetId="8" state="visible" r:id="rId10"/>
    <sheet name="Conflict Register" sheetId="9" state="visible" r:id="rId11"/>
    <sheet name="FR-NFR Traceability" sheetId="10" state="visible" r:id="rId12"/>
    <sheet name="Summary" sheetId="11" state="visible" r:id="rId13"/>
  </sheets>
  <definedNames>
    <definedName function="false" hidden="true" localSheetId="7" name="_xlnm._FilterDatabase" vbProcedure="false">'Change Log'!$A$2:$J$21</definedName>
    <definedName function="false" hidden="true" localSheetId="8" name="_xlnm._FilterDatabase" vbProcedure="false">'Conflict Register'!$A$2:$G$31</definedName>
    <definedName function="false" hidden="true" localSheetId="9" name="_xlnm._FilterDatabase" vbProcedure="false">'FR-NFR Traceability'!$A$2:$I$124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<sst xmlns="http://schemas.openxmlformats.org/spreadsheetml/2006/main" count="5001" uniqueCount="2047">
  <si>
    <t xml:space="preserve">DRCH – Normal User User Stories</t>
  </si>
  <si>
    <t xml:space="preserve">Story ID</t>
  </si>
  <si>
    <t xml:space="preserve">Front of Card – User Story</t>
  </si>
  <si>
    <t xml:space="preserve">Back of Card – Acceptance Criteria</t>
  </si>
  <si>
    <t xml:space="preserve">Source FR(s)</t>
  </si>
  <si>
    <t xml:space="preserve">Relevant NFR(s)</t>
  </si>
  <si>
    <t xml:space="preserve">Related Error Case(s)</t>
  </si>
  <si>
    <t xml:space="preserve">Epic</t>
  </si>
  <si>
    <t xml:space="preserve">Sprint</t>
  </si>
  <si>
    <t xml:space="preserve">US-N01</t>
  </si>
  <si>
    <t xml:space="preserve">As a Normal User, I want to register an account, so that I can report incidents, donate and contribute aid.</t>
  </si>
  <si>
    <t xml:space="preserve">• Public sign-up creates a Normal User account only.
• Duplicate or invalid registration is rejected with a clear message.
• The dashboard is shown only after authentication.
• Consent is captured as part of the registration input.</t>
  </si>
  <si>
    <t xml:space="preserve">NU-FR-01, AM-FR-11</t>
  </si>
  <si>
    <t xml:space="preserve">NU-NFR-12</t>
  </si>
  <si>
    <t xml:space="preserve">EH-01</t>
  </si>
  <si>
    <t xml:space="preserve">E01</t>
  </si>
  <si>
    <t xml:space="preserve">S1</t>
  </si>
  <si>
    <t xml:space="preserve">US-N02</t>
  </si>
  <si>
    <t xml:space="preserve">As a Normal User, I want to log in and log out securely, so that my account and reports stay protected.</t>
  </si>
  <si>
    <t xml:space="preserve">• Valid credentials create a secure session.
• Failed login shows a generic message that does not reveal whether the account exists.
• Repeated failures trigger the configured rate limit or lockout.
• I can request a password reset; the response is the same whether or not the account exists.</t>
  </si>
  <si>
    <t xml:space="preserve">EH-02, EH-19</t>
  </si>
  <si>
    <t xml:space="preserve">US-N03</t>
  </si>
  <si>
    <t xml:space="preserve">As a Normal User, I want to view and update my profile, so that my personal details stay current.</t>
  </si>
  <si>
    <t xml:space="preserve">• I can view and edit permitted profile fields.
• Invalid fields are rejected.
• I cannot change my own role.</t>
  </si>
  <si>
    <t xml:space="preserve">NU-FR-02</t>
  </si>
  <si>
    <t xml:space="preserve">NU-NFR-05</t>
  </si>
  <si>
    <t xml:space="preserve">EH-11</t>
  </si>
  <si>
    <t xml:space="preserve">E04</t>
  </si>
  <si>
    <t xml:space="preserve">S2</t>
  </si>
  <si>
    <t xml:space="preserve">US-N04</t>
  </si>
  <si>
    <t xml:space="preserve">As a Normal User, I want to report an incident by choosing one of the three supported scenarios (Cyclone, Industrial Fire, Urban Flooding) and entering description, urgency and people affected, so that authorities learn about the emergency.</t>
  </si>
  <si>
    <t xml:space="preserve">• Scenario is chosen from a closed list of three and validated again on the server.
• A unique incident ID and Submitted status are shown.
• The system never claims the report is verified or dispatched.</t>
  </si>
  <si>
    <t xml:space="preserve">NU-FR-03</t>
  </si>
  <si>
    <t xml:space="preserve">NU-NFR-01, NU-NFR-11</t>
  </si>
  <si>
    <t xml:space="preserve">EH-01, EH-25</t>
  </si>
  <si>
    <t xml:space="preserve">US-N05</t>
  </si>
  <si>
    <t xml:space="preserve">As a Normal User, I want to be told clearly when my situation is outside the three supported scenarios, so that I know to contact local emergency services instead.</t>
  </si>
  <si>
    <t xml:space="preserve">• An unsupported scenario value is rejected with a clear message.
• The site shows a pointer to local emergency services.
• No incident is created for an unsupported scenario.</t>
  </si>
  <si>
    <t xml:space="preserve">NU-NFR-01</t>
  </si>
  <si>
    <t xml:space="preserve">EH-25</t>
  </si>
  <si>
    <t xml:space="preserve">US-N06</t>
  </si>
  <si>
    <t xml:space="preserve">As a Normal User, I want to give the incident location by GPS, map point or manual address and add relevant details, so that responders can find the incident.</t>
  </si>
  <si>
    <t xml:space="preserve">• GPS or map point or manual address is accepted.
• A map or address preview is shown and can be corrected.
• If GPS or the map service is unavailable I can enter the location manually.</t>
  </si>
  <si>
    <t xml:space="preserve">NU-FR-04</t>
  </si>
  <si>
    <t xml:space="preserve">NU-NFR-04</t>
  </si>
  <si>
    <t xml:space="preserve">US-N07</t>
  </si>
  <si>
    <t xml:space="preserve">As a Normal User, I want to attach photos or other permitted evidence to my report, so that staff can verify what is happening.</t>
  </si>
  <si>
    <t xml:space="preserve">• Only allowed types and sizes are accepted.
• Each file shows its own state such as Pending Moderation.
• Unsafe or corrupt files are rejected and unchecked content is never displayed.
• I can remove my own evidence until it has been verified.</t>
  </si>
  <si>
    <t xml:space="preserve">NU-FR-05, DM-FR-18</t>
  </si>
  <si>
    <t xml:space="preserve">NU-NFR-13</t>
  </si>
  <si>
    <t xml:space="preserve">EH-03, EH-20</t>
  </si>
  <si>
    <t xml:space="preserve">US-N08</t>
  </si>
  <si>
    <t xml:space="preserve">As a Normal User, I want to track the status, timeline, verified updates and closure reason of my own reports, so that I always know where my report stands.</t>
  </si>
  <si>
    <t xml:space="preserve">• Only my own reports are shown.
• The timeline shows each state change.
• The closure reason is shown once the incident is closed.
• A report that is not mine is answered as not found, so its existence is not revealed.</t>
  </si>
  <si>
    <t xml:space="preserve">NU-FR-06</t>
  </si>
  <si>
    <t xml:space="preserve">NU-NFR-09</t>
  </si>
  <si>
    <t xml:space="preserve">US-N09</t>
  </si>
  <si>
    <t xml:space="preserve">As a Normal User, I want to view my contribution history and retrieve receipts for confirmed donations, so that I have proof of what I contributed.</t>
  </si>
  <si>
    <t xml:space="preserve">• History lists my donations and aid contributions.
• A receipt is available only for confirmed transactions.
• Pending or failed donations show no receipt.</t>
  </si>
  <si>
    <t xml:space="preserve">NU-NFR-10</t>
  </si>
  <si>
    <t xml:space="preserve">EH-07, EH-08</t>
  </si>
  <si>
    <t xml:space="preserve">E09</t>
  </si>
  <si>
    <t xml:space="preserve">S4</t>
  </si>
  <si>
    <t xml:space="preserve">US-N10</t>
  </si>
  <si>
    <t xml:space="preserve">As a Normal User, I want to receive official alerts and updates about my reports and transactions, so that I stay informed.</t>
  </si>
  <si>
    <t xml:space="preserve">• In-app status is always available as the source of truth.
• Queued, sent, delivered and failed states are visible.
• Transient delivery failures are retried; opt-out is honoured where offered.</t>
  </si>
  <si>
    <t xml:space="preserve">NU-FR-07, AM-FR-09</t>
  </si>
  <si>
    <t xml:space="preserve">AM-NFR-08</t>
  </si>
  <si>
    <t xml:space="preserve">EH-13</t>
  </si>
  <si>
    <t xml:space="preserve">E13</t>
  </si>
  <si>
    <t xml:space="preserve">S3</t>
  </si>
  <si>
    <t xml:space="preserve">US-N11</t>
  </si>
  <si>
    <t xml:space="preserve">As a Normal User, I want to read approved safety guidance for each of the three scenarios, so that I can protect myself and others.</t>
  </si>
  <si>
    <t xml:space="preserve">• Only approved, versioned content is shown.
• Official status, source and last-update time are visible.
• Stale or unapproved content is withheld.</t>
  </si>
  <si>
    <t xml:space="preserve">NU-FR-08, DM-FR-17</t>
  </si>
  <si>
    <t xml:space="preserve">DM-NFR-15</t>
  </si>
  <si>
    <t xml:space="preserve">–</t>
  </si>
  <si>
    <t xml:space="preserve">E11</t>
  </si>
  <si>
    <t xml:space="preserve">US-N12</t>
  </si>
  <si>
    <t xml:space="preserve">As a Normal User, I want to donate money to an active campaign without having to file an incident, so that I can support relief efforts.</t>
  </si>
  <si>
    <t xml:space="preserve">• Donation is possible independently of incident reporting.
• I choose an active approved campaign, amount and payment method.
• Retrying does not charge me twice.</t>
  </si>
  <si>
    <t xml:space="preserve">NU-FR-09</t>
  </si>
  <si>
    <t xml:space="preserve">NU-NFR-07, NU-NFR-08</t>
  </si>
  <si>
    <t xml:space="preserve">EH-07, EH-12</t>
  </si>
  <si>
    <t xml:space="preserve">US-N13</t>
  </si>
  <si>
    <t xml:space="preserve">As a Normal User, I want to see the exact state of my donation (Pending, Confirmed or Failed), so that I am never told it succeeded when it did not.</t>
  </si>
  <si>
    <t xml:space="preserve">• Success is shown only after gateway confirmation with callback and reference validation.
• A timeout keeps the donation Pending and prevents duplicate charging.
• A receipt is issued only after confirmation.</t>
  </si>
  <si>
    <t xml:space="preserve">NU-NFR-08, NU-NFR-09</t>
  </si>
  <si>
    <t xml:space="preserve">EH-07, EH-08, EH-09</t>
  </si>
  <si>
    <t xml:space="preserve">US-N14</t>
  </si>
  <si>
    <t xml:space="preserve">As a Normal User, I want to register physical aid (type, quantity, condition, location, contact) without filing an incident, so that goods reach people in need.</t>
  </si>
  <si>
    <t xml:space="preserve">• Aid can be registered independently of incident reporting.
• Invalid or unavailable aid gets a non-success state with a next action.
• No delivery success is shown without confirmation.
• Retrying a registration with the same idempotency key creates one contribution only.</t>
  </si>
  <si>
    <t xml:space="preserve">NU-FR-10</t>
  </si>
  <si>
    <t xml:space="preserve">EH-10</t>
  </si>
  <si>
    <t xml:space="preserve">E10</t>
  </si>
  <si>
    <t xml:space="preserve">US-N15</t>
  </si>
  <si>
    <t xml:space="preserve">As a Normal User, I want to see each stage of my aid contribution (Registered / Pending Verification, Verified or Rejected, Allocated, In Transit, Delivered or Failed) separately, so that I can follow it to delivery.</t>
  </si>
  <si>
    <t xml:space="preserve">• Each stage is shown separately.
• A failed delivery keeps the non-success state with the reason.
• I can modify, withdraw or wait for reallocation.</t>
  </si>
  <si>
    <t xml:space="preserve">EH-10, EH-14</t>
  </si>
  <si>
    <t xml:space="preserve">US-N16</t>
  </si>
  <si>
    <t xml:space="preserve">As a Normal User, I want to answer a staff request for more information on my report, so that staff can verify it and act.</t>
  </si>
  <si>
    <t xml:space="preserve">• I can add text, evidence or a corrected location.
• The response is stored with my identity and time.
• The incident returns to the review queue; I cannot answer for another user or a closed incident.
• A response is accepted only while the incident is in the Needs Information state; a response after the response window has expired is refused with a clear message.</t>
  </si>
  <si>
    <t xml:space="preserve">NU-FR-11</t>
  </si>
  <si>
    <t xml:space="preserve">NU-NFR-11</t>
  </si>
  <si>
    <t xml:space="preserve">EH-05</t>
  </si>
  <si>
    <t xml:space="preserve">US-N17</t>
  </si>
  <si>
    <t xml:space="preserve">As a Normal User, I want to correct or withdraw my own report before an operational action depends on it, so that wrong or resolved reports do not waste resources.</t>
  </si>
  <si>
    <t xml:space="preserve">• I can update or withdraw only my own report.
• Withdrawal is blocked once dispatch has started.
• Original values are kept in history and staff are informed.</t>
  </si>
  <si>
    <t xml:space="preserve">NU-FR-12</t>
  </si>
  <si>
    <t xml:space="preserve">US-N18</t>
  </si>
  <si>
    <t xml:space="preserve">As a Normal User, I want to save an unsent report as a draft in my browser (Optional), so that I do not lose my work when something fails.</t>
  </si>
  <si>
    <t xml:space="preserve">• A draft is clearly marked Not yet sent.
• The draft is restored when I return.
• If local storage is unavailable I am told.</t>
  </si>
  <si>
    <t xml:space="preserve">NU-FR-13 (Optional)</t>
  </si>
  <si>
    <t xml:space="preserve">NU-NFR-14 (Optional)</t>
  </si>
  <si>
    <t xml:space="preserve">EH-01, EH-12</t>
  </si>
  <si>
    <t xml:space="preserve">Cond</t>
  </si>
  <si>
    <t xml:space="preserve">US-N19</t>
  </si>
  <si>
    <t xml:space="preserve">As a Normal User, I want to retry a failed submission safely, so that my report is never duplicated.</t>
  </si>
  <si>
    <t xml:space="preserve">• Retrying uses an idempotency key.
• Submitting twice creates one incident only.
• A duplicate submission is blocked with a clear message.
• After a server failure the retry checks the report status first, so no duplicate is created and no false success is shown.</t>
  </si>
  <si>
    <t xml:space="preserve">NU-FR-03, NU-FR-13 (Optional)</t>
  </si>
  <si>
    <t xml:space="preserve">NU-NFR-08</t>
  </si>
  <si>
    <t xml:space="preserve">EH-12</t>
  </si>
  <si>
    <t xml:space="preserve">US-N20</t>
  </si>
  <si>
    <t xml:space="preserve">As a Normal User, I want to request an export or deletion of my personal data (Optional), so that I control my data.</t>
  </si>
  <si>
    <t xml:space="preserve">• I must verify my identity.
• I am shown what can and cannot be removed and why.
• A deletion that did not happen is never reported as done.</t>
  </si>
  <si>
    <t xml:space="preserve">NU-FR-14 (Optional)</t>
  </si>
  <si>
    <t xml:space="preserve">NU-NFR-15 (Optional)</t>
  </si>
  <si>
    <t xml:space="preserve">EH-26</t>
  </si>
  <si>
    <t xml:space="preserve">E16</t>
  </si>
  <si>
    <t xml:space="preserve">US-N21</t>
  </si>
  <si>
    <t xml:space="preserve">As a Normal User, I want to flag published or shared content that looks unsafe, abusive or incorrect (Optional), so that moderators can review it.</t>
  </si>
  <si>
    <t xml:space="preserve">• I choose the content and give a reason.
• Flagging is rate-limited.
• I get confirmation without seeing the moderation outcome.</t>
  </si>
  <si>
    <t xml:space="preserve">NU-FR-15 (Optional), DM-FR-18</t>
  </si>
  <si>
    <t xml:space="preserve">EH-18</t>
  </si>
  <si>
    <t xml:space="preserve">US-N22</t>
  </si>
  <si>
    <t xml:space="preserve">As a Normal User, I want to use forms and status screens that are clear, consistent and easy to learn, so that I can report quickly under stress.</t>
  </si>
  <si>
    <t xml:space="preserve">• The report form explains the three scenarios so I can tell if mine fits.
• Scenario-based task tests pass.</t>
  </si>
  <si>
    <t xml:space="preserve">E15</t>
  </si>
  <si>
    <t xml:space="preserve">S5</t>
  </si>
  <si>
    <t xml:space="preserve">US-N23</t>
  </si>
  <si>
    <t xml:space="preserve">As a Normal User, I want to use the website with keyboard, assistive technology and readable contrast, so that accessibility barriers do not stop me from getting help.</t>
  </si>
  <si>
    <t xml:space="preserve">• Labels, focus order and status messages are accessible.
• An accessibility audit finds no blocking issues.</t>
  </si>
  <si>
    <t xml:space="preserve">NU-FR-03, NU-FR-06</t>
  </si>
  <si>
    <t xml:space="preserve">NU-NFR-02</t>
  </si>
  <si>
    <t xml:space="preserve">US-N24</t>
  </si>
  <si>
    <t xml:space="preserve">As a Normal User, I want to get timely feedback on common actions, so that I know my action worked.</t>
  </si>
  <si>
    <t xml:space="preserve">• Common actions respond within the approved target.
• Targets are proposed after workload analysis and remain proposed until approved by the named approver.</t>
  </si>
  <si>
    <t xml:space="preserve">NU-NFR-03</t>
  </si>
  <si>
    <t xml:space="preserve">US-N25</t>
  </si>
  <si>
    <t xml:space="preserve">As a Normal User, I want to keep using core functions when a dependency fails, so that outages elsewhere do not block me.</t>
  </si>
  <si>
    <t xml:space="preserve">• Core pages degrade gracefully when a dependency is down.
• Dependency-outage tests pass.</t>
  </si>
  <si>
    <t xml:space="preserve">NU-FR-03, NU-FR-08</t>
  </si>
  <si>
    <t xml:space="preserve">E14</t>
  </si>
  <si>
    <t xml:space="preserve">US-N26</t>
  </si>
  <si>
    <t xml:space="preserve">As a Normal User, I want to have my profile, location, evidence and contact data visible only to authorised staff, so that my privacy is protected.</t>
  </si>
  <si>
    <t xml:space="preserve">• Agencies receive only what staff choose to share.
• RBAC and privacy tests pass.</t>
  </si>
  <si>
    <t xml:space="preserve">NU-FR-02, NU-FR-04</t>
  </si>
  <si>
    <t xml:space="preserve">US-N27</t>
  </si>
  <si>
    <t xml:space="preserve">As a Normal User, I want to use the platform on supported desktop and mobile browsers, so that I can reach it on any device I have.</t>
  </si>
  <si>
    <t xml:space="preserve">• Supported browsers are documented.
• The compatibility matrix is tested.</t>
  </si>
  <si>
    <t xml:space="preserve">NU-NFR-06</t>
  </si>
  <si>
    <t xml:space="preserve">US-N28</t>
  </si>
  <si>
    <t xml:space="preserve">As a Normal User, I want to pay through a secure gateway so card details never sit in the application, so that my payment data is safe.</t>
  </si>
  <si>
    <t xml:space="preserve">• Sensitive payment credentials are handled by the gateway.
• Security review and penetration tests pass.</t>
  </si>
  <si>
    <t xml:space="preserve">NU-NFR-07</t>
  </si>
  <si>
    <t xml:space="preserve">EH-09</t>
  </si>
  <si>
    <t xml:space="preserve">US-N29</t>
  </si>
  <si>
    <t xml:space="preserve">As a Normal User, I want to be sure retries, callbacks and timeouts keep my donation state correct, so that I am not double charged or misled.</t>
  </si>
  <si>
    <t xml:space="preserve">• Duplicate attempts do not create duplicate charges.
• Fault-injection and reconciliation tests pass.
• Companion to US-N13: the functional donation-state behaviour is specified there; this story verifies it under retries and callbacks.</t>
  </si>
  <si>
    <t xml:space="preserve">US-N30</t>
  </si>
  <si>
    <t xml:space="preserve">As a Normal User, I want to tell submitted, moderated, verified, pending, confirmed, closed and out-of-scope states apart, so that I understand what has really happened.</t>
  </si>
  <si>
    <t xml:space="preserve">• Each state has a distinct label.
• State-transition and UI tests pass.</t>
  </si>
  <si>
    <t xml:space="preserve">US-N31</t>
  </si>
  <si>
    <t xml:space="preserve">As a Normal User, I want to control how my identity appears when I donate, so that my donor privacy is respected.</t>
  </si>
  <si>
    <t xml:space="preserve">• Donor identity visibility follows approved privacy rules.
• Access is least-privilege.</t>
  </si>
  <si>
    <t xml:space="preserve">US-N32</t>
  </si>
  <si>
    <t xml:space="preserve">As a Normal User, I want to receive rapid acknowledgement and updates for my incident, so that I know help is being considered.</t>
  </si>
  <si>
    <t xml:space="preserve">• Acknowledgement is shown immediately after submission.
• End-to-end timing tests meet approved targets.</t>
  </si>
  <si>
    <t xml:space="preserve">NU-FR-03, NU-FR-07</t>
  </si>
  <si>
    <t xml:space="preserve">E08</t>
  </si>
  <si>
    <t xml:space="preserve">US-N33</t>
  </si>
  <si>
    <t xml:space="preserve">As a Normal User, I want to be able to report during spam or bot traffic, so that genuine emergencies are never blocked.</t>
  </si>
  <si>
    <t xml:space="preserve">• Abuse controls contain bots without blocking genuine reports.
• False-positive tests pass.
• When a limit is reached I see a clear message that does not reveal the threshold, with a pointer to an alternative route for a genuine emergency.</t>
  </si>
  <si>
    <t xml:space="preserve">NU-FR-03, AM-FR-11</t>
  </si>
  <si>
    <t xml:space="preserve">EH-18, EH-19</t>
  </si>
  <si>
    <t xml:space="preserve">E03</t>
  </si>
  <si>
    <t xml:space="preserve">US-N34</t>
  </si>
  <si>
    <t xml:space="preserve">As a Normal User, I want to be protected from unsafe text and files, so that I am not harmed by what others upload.</t>
  </si>
  <si>
    <t xml:space="preserve">• User text and files are never rendered unsafely.
• Evidence is moderated before wider visibility.</t>
  </si>
  <si>
    <t xml:space="preserve">EH-20</t>
  </si>
  <si>
    <t xml:space="preserve">US-N35</t>
  </si>
  <si>
    <t xml:space="preserve">As a Normal User, I want to see a draft saved in my browser in a clear Not yet sent state (Optional), so that I never think an unsent draft was submitted.</t>
  </si>
  <si>
    <t xml:space="preserve">• Draft state label is visible.
• Browser-storage and retry tests pass.
• Companion to US-N18: the draft behaviour is specified there; this story verifies the label.</t>
  </si>
  <si>
    <t xml:space="preserve">US-N36</t>
  </si>
  <si>
    <t xml:space="preserve">As a Normal User, I want to exercise my data rights within retention limits (Optional), so that my data can be exported or deleted lawfully.</t>
  </si>
  <si>
    <t xml:space="preserve">• Requests are resolved within retention limits: completed, or refused with a recorded reason.
• A deletion that did not happen is never reported as done.
• Companion to US-N20: the request behaviour is specified there; this story verifies retention limits.</t>
  </si>
  <si>
    <t xml:space="preserve">DRCH – Disaster Management User Stories</t>
  </si>
  <si>
    <t xml:space="preserve">US-D01</t>
  </si>
  <si>
    <t xml:space="preserve">As a Disaster Management staff member, I want to log in with MFA, so that only authorised staff access operational tools.</t>
  </si>
  <si>
    <t xml:space="preserve">• Valid credentials plus MFA give a secure session with my permission set.
• Suspended or expired accounts and failed MFA are refused.
• The dashboard loads only after authentication.</t>
  </si>
  <si>
    <t xml:space="preserve">DM-FR-01</t>
  </si>
  <si>
    <t xml:space="preserve">DM-NFR-05</t>
  </si>
  <si>
    <t xml:space="preserve">EH-02, EH-11</t>
  </si>
  <si>
    <t xml:space="preserve">US-D02</t>
  </si>
  <si>
    <t xml:space="preserve">As a Disaster Management staff member, I want to see a consolidated dashboard of incidents, priorities, map, moderation queue and pending actions, so that I focus on what is urgent.</t>
  </si>
  <si>
    <t xml:space="preserve">• Filters narrow the data.
• Overdue and escalated dispatches are surfaced.
• Status and last-updated time are shown.</t>
  </si>
  <si>
    <t xml:space="preserve">DM-FR-02</t>
  </si>
  <si>
    <t xml:space="preserve">DM-NFR-01, DM-NFR-03</t>
  </si>
  <si>
    <t xml:space="preserve">E05</t>
  </si>
  <si>
    <t xml:space="preserve">US-D03</t>
  </si>
  <si>
    <t xml:space="preserve">As a Disaster Management staff member, I want to review evidence and set a verification state with a rationale, so that only confirmed incidents are acted upon.</t>
  </si>
  <si>
    <t xml:space="preserve">• Decision, actor and time are saved.
• The reporter is notified where appropriate.
• Concurrent updates are detected and refused.</t>
  </si>
  <si>
    <t xml:space="preserve">DM-FR-03</t>
  </si>
  <si>
    <t xml:space="preserve">DM-NFR-06</t>
  </si>
  <si>
    <t xml:space="preserve">US-D04</t>
  </si>
  <si>
    <t xml:space="preserve">As a Disaster Management staff member, I want to request more information from the reporter when evidence is insufficient, so that I can verify without dispatching on a guess.</t>
  </si>
  <si>
    <t xml:space="preserve">• The incident moves to Needs Information with a specific question for the reporter.
• The report is not dispatched while unverified.
• The reporter response returns it to the review queue.</t>
  </si>
  <si>
    <t xml:space="preserve">DM-FR-03, NU-FR-11</t>
  </si>
  <si>
    <t xml:space="preserve">US-D05</t>
  </si>
  <si>
    <t xml:space="preserve">As a Disaster Management staff member, I want to see likely duplicate reports with the reason for the match, so that I avoid duplicate effort.</t>
  </si>
  <si>
    <t xml:space="preserve">• Candidates are shown, never auto-deleted.
• I decide to link, merge or keep them.
• Originals are preserved.</t>
  </si>
  <si>
    <t xml:space="preserve">DM-FR-04</t>
  </si>
  <si>
    <t xml:space="preserve">DM-NFR-10</t>
  </si>
  <si>
    <t xml:space="preserve">EH-04</t>
  </si>
  <si>
    <t xml:space="preserve">US-D06</t>
  </si>
  <si>
    <t xml:space="preserve">As a Disaster Management staff member, I want to see an AI suggestion of scenario, urgency factors and triage evidence with confidence and uncertainty, so that I can triage faster and judge it.</t>
  </si>
  <si>
    <t xml:space="preserve">• AI output is clearly labelled advisory.
• Factors, uncertainty and version metadata are shown where feasible.
• A suggestion outside the three scenarios is flagged Out of Scope.</t>
  </si>
  <si>
    <t xml:space="preserve">DM-FR-05</t>
  </si>
  <si>
    <t xml:space="preserve">DM-NFR-09</t>
  </si>
  <si>
    <t xml:space="preserve">EH-06, EH-25</t>
  </si>
  <si>
    <t xml:space="preserve">E06</t>
  </si>
  <si>
    <t xml:space="preserve">US-D07</t>
  </si>
  <si>
    <t xml:space="preserve">As a Disaster Management staff member, I want to accept, modify or reject the AI recommendation and record my decision, so that a human always makes the final call.</t>
  </si>
  <si>
    <t xml:space="preserve">• The AI recommendation is stored separately from my decision.
• AI alone cannot finalise a critical decision.
• If AI is unavailable I triage manually.</t>
  </si>
  <si>
    <t xml:space="preserve">EH-06</t>
  </si>
  <si>
    <t xml:space="preserve">US-D08</t>
  </si>
  <si>
    <t xml:space="preserve">As a Disaster Management staff member, I want to assign an operational priority with a recorded rationale, so that the right incidents are handled first.</t>
  </si>
  <si>
    <t xml:space="preserve">• Priority combines rules and my judgement.
• The rationale is saved.
• Queue, map and resource planning update.</t>
  </si>
  <si>
    <t xml:space="preserve">DM-FR-06</t>
  </si>
  <si>
    <t xml:space="preserve">US-D09</t>
  </si>
  <si>
    <t xml:space="preserve">As a Disaster Management staff member, I want to see incidents, resources, routes and areas on an operational map, so that I understand where help is needed.</t>
  </si>
  <si>
    <t xml:space="preserve">• Pins show status and data freshness.
• Coordinates are validated.
• If the map service is down I still see list data.</t>
  </si>
  <si>
    <t xml:space="preserve">DM-FR-07</t>
  </si>
  <si>
    <t xml:space="preserve">DM-NFR-08</t>
  </si>
  <si>
    <t xml:space="preserve">E07</t>
  </si>
  <si>
    <t xml:space="preserve">US-D10</t>
  </si>
  <si>
    <t xml:space="preserve">As a Disaster Management staff member, I want to track and assign teams, vehicles, supplies and support resources, so that I know what is available.</t>
  </si>
  <si>
    <t xml:space="preserve">• Availability is checked before assignment.
• Conflicting or stale assignments are blocked.
• Availability and conflicts are visible.
• A reservation can be released, which makes the resource available again.</t>
  </si>
  <si>
    <t xml:space="preserve">DM-FR-08</t>
  </si>
  <si>
    <t xml:space="preserve">DM-NFR-11</t>
  </si>
  <si>
    <t xml:space="preserve">US-D11</t>
  </si>
  <si>
    <t xml:space="preserve">As a Disaster Management staff member, I want to create and track a dispatch for a verified, prioritised incident with a resource, so that help reaches the scene.</t>
  </si>
  <si>
    <t xml:space="preserve">• Prerequisites are checked before creation.
• States Requested, Acknowledged, Dispatched, Completed, Rejected, Failed or Escalated are shown; Escalated marks a dispatch that is still unacknowledged and is never shown as Acknowledged or Dispatched without a recorded confirmation.
• Until an acknowledgement is recorded the dispatch shows Requested / Waiting; it becomes Acknowledged and then Dispatched only after a recorded confirmation.
• If transmission fails or the team rejects the request, a failure or waiting state is shown and a safe retry or reassignment is allowed.
• A false success is never displayed.
• Dispatch completion is set only by a Disaster Management operator or a trusted integration, never inferred.</t>
  </si>
  <si>
    <t xml:space="preserve">DM-FR-09</t>
  </si>
  <si>
    <t xml:space="preserve">DM-NFR-13</t>
  </si>
  <si>
    <t xml:space="preserve">EH-12, EH-15, EH-16</t>
  </si>
  <si>
    <t xml:space="preserve">US-D12</t>
  </si>
  <si>
    <t xml:space="preserve">As a Disaster Management staff member with the supervisor permission, I want to be notified when a dispatch is not acknowledged within the configured window, so that unacknowledged dispatches never wait indefinitely.</t>
  </si>
  <si>
    <t xml:space="preserve">• The dispatch remains unacknowledged (Requested) and is marked Escalated; it is never shown as Acknowledged or Dispatched without a recorded confirmation.
• I can resend, reassign or escalate.
• The timeout comes from configuration.</t>
  </si>
  <si>
    <t xml:space="preserve">DM-FR-09, AM-FR-03</t>
  </si>
  <si>
    <t xml:space="preserve">EH-15</t>
  </si>
  <si>
    <t xml:space="preserve">US-D13</t>
  </si>
  <si>
    <t xml:space="preserve">As a Disaster Management staff member, I want to record an agency's acknowledgement or rejection with the time and my name, so that the dispatch state is accurate and accountable.</t>
  </si>
  <si>
    <t xml:space="preserve">• The recorder and timestamp are stored.
• A rejection shows its reason and never a dispatch success.
• A late or conflicting acknowledgement keeps both events and flags the conflict.
• If the agency messaging or dispatch integration is unavailable I can record the acknowledgement manually; the dispatch advances only on a recorded confirmation.</t>
  </si>
  <si>
    <t xml:space="preserve">DM-FR-10, DM-FR-09</t>
  </si>
  <si>
    <t xml:space="preserve">DM-NFR-07</t>
  </si>
  <si>
    <t xml:space="preserve">EH-16, EH-17</t>
  </si>
  <si>
    <t xml:space="preserve">US-D14</t>
  </si>
  <si>
    <t xml:space="preserve">As a Disaster Management staff member, I want to send coordination messages to external agency contacts, so that agencies get the information they need and nothing more.</t>
  </si>
  <si>
    <t xml:space="preserve">• Recipient authority is checked.
• Sent, acknowledged, rejected or failed state and recorder are shown.
• Only the information I choose to share is sent.</t>
  </si>
  <si>
    <t xml:space="preserve">DM-FR-10</t>
  </si>
  <si>
    <t xml:space="preserve">US-D15</t>
  </si>
  <si>
    <t xml:space="preserve">As a Disaster Management staff member with the Publisher/Approver permission, I want to publish verified public updates with an affected area, so that the public receives trusted information.</t>
  </si>
  <si>
    <t xml:space="preserve">• Updates are versioned and timestamped.
• Staff without Publisher/Approver permission cannot publish.
• Notification failure does not block the update.
• Published updates appear on the public updates page and landing page with their timestamp, without requiring login.</t>
  </si>
  <si>
    <t xml:space="preserve">DM-FR-11</t>
  </si>
  <si>
    <t xml:space="preserve">EH-22</t>
  </si>
  <si>
    <t xml:space="preserve">US-D16</t>
  </si>
  <si>
    <t xml:space="preserve">As a Disaster Management staff member, I want to monitor confirmed donations and verified aid, so that I know what resources are really available.</t>
  </si>
  <si>
    <t xml:space="preserve">• Pending, confirmed and verified states are distinct.
• The view is reconciled with traceability.
• A gateway delay is not counted as confirmed.</t>
  </si>
  <si>
    <t xml:space="preserve">DM-FR-12</t>
  </si>
  <si>
    <t xml:space="preserve">DM-NFR-12</t>
  </si>
  <si>
    <t xml:space="preserve">EH-08</t>
  </si>
  <si>
    <t xml:space="preserve">US-D17</t>
  </si>
  <si>
    <t xml:space="preserve">As a Disaster Management staff member, I want to allocate verified aid to an approved need and track delivery, so that aid reaches the right place.</t>
  </si>
  <si>
    <t xml:space="preserve">• Compatibility and quantity are checked.
• Allocated, In Transit, Delivered or Failed states are tracked.
• A failed delivery can be rescheduled or reallocated.
• I can verify or reject registered aid before allocating it.
• Delivered is recorded only on an authorised receipt confirmation.
• The need comes from needs management (Optional DM-FR-19) where adopted; otherwise I enter it directly here.</t>
  </si>
  <si>
    <t xml:space="preserve">DM-FR-13</t>
  </si>
  <si>
    <t xml:space="preserve">US-D18</t>
  </si>
  <si>
    <t xml:space="preserve">As a Disaster Management staff member, I want to view operational and contribution analytics filtered by time, scenario and region, so that I can plan and report.</t>
  </si>
  <si>
    <t xml:space="preserve">• Definitions and data freshness are shown.
• Unknown and pending records are separated.
• Out of Scope records are counted separately.</t>
  </si>
  <si>
    <t xml:space="preserve">DM-FR-14</t>
  </si>
  <si>
    <t xml:space="preserve">E12</t>
  </si>
  <si>
    <t xml:space="preserve">US-D19</t>
  </si>
  <si>
    <t xml:space="preserve">As a Disaster Management staff member with the closer permission, I want to close an incident with a recorded reason and optional public summary, so that every incident ends in a clear final state.</t>
  </si>
  <si>
    <t xml:space="preserve">• Closure is refused while dispatches or allocations are open unless I give an explicit override rationale.
• Edits are frozen but the record stays readable.
• The reason and time are shown to staff and to the reporter.
• Reopening a closed incident requires the same closer permission and is itself audited.</t>
  </si>
  <si>
    <t xml:space="preserve">DM-FR-15</t>
  </si>
  <si>
    <t xml:space="preserve">EH-23</t>
  </si>
  <si>
    <t xml:space="preserve">US-D20</t>
  </si>
  <si>
    <t xml:space="preserve">As a Disaster Management staff member, I want to create and manage donation campaigns for the three scenarios, so that donors can give to approved purposes.</t>
  </si>
  <si>
    <t xml:space="preserve">• Campaign scenario accepts only the three supported values.
• Only active, approved campaigns are offered to donors.
• A closed campaign still referenced is handled.</t>
  </si>
  <si>
    <t xml:space="preserve">DM-FR-16</t>
  </si>
  <si>
    <t xml:space="preserve">EH-24</t>
  </si>
  <si>
    <t xml:space="preserve">US-D21</t>
  </si>
  <si>
    <t xml:space="preserve">As a Disaster Management staff member with the Publisher/Approver permission, I want to author, review, approve and publish versioned safety content per scenario, so that citizens read only approved guidance.</t>
  </si>
  <si>
    <t xml:space="preserve">• Draft goes through review and approval before publish.
• Every version is kept and attributable.
• An unapproved draft is never served.
• The previous approved version stays live until the new version is approved; both versions are retained.</t>
  </si>
  <si>
    <t xml:space="preserve">DM-FR-17</t>
  </si>
  <si>
    <t xml:space="preserve">US-D22</t>
  </si>
  <si>
    <t xml:space="preserve">As a Disaster Management staff member with the moderator permission, I want to review uploaded evidence and flagged text and set Approved, Quarantined or Removed, so that unsafe content is never shown publicly.</t>
  </si>
  <si>
    <t xml:space="preserve">• Decision, actor, time and reason are recorded.
• Quarantined content shows a placeholder to staff only.
• Pending items are never auto-approved when the backlog grows.
• If the scanner is unavailable, items stay Pending and are never treated as Approved.
• Content found unsafe is quarantined immediately, never rendered, and an alert is raised to moderators and Application Management.
• Removing an item leaves the incident open with its remaining evidence.</t>
  </si>
  <si>
    <t xml:space="preserve">DM-FR-18</t>
  </si>
  <si>
    <t xml:space="preserve">DM-NFR-14</t>
  </si>
  <si>
    <t xml:space="preserve">EH-20, EH-21</t>
  </si>
  <si>
    <t xml:space="preserve">US-D23</t>
  </si>
  <si>
    <t xml:space="preserve">As a Disaster Management staff member, I want to record, prioritise and close operational needs that aid can be allocated against (Optional), so that aid matches real demand.</t>
  </si>
  <si>
    <t xml:space="preserve">• Open, partially met and met needs are shown.
• Duplicate or over-allocated needs are blocked.</t>
  </si>
  <si>
    <t xml:space="preserve">DM-FR-19 (Optional)</t>
  </si>
  <si>
    <t xml:space="preserve">US-D24</t>
  </si>
  <si>
    <t xml:space="preserve">As a Disaster Management staff member, I want to maintain a directory of external agency contacts and assign them to incidents (Optional), so that dispatch messages reach the right people.</t>
  </si>
  <si>
    <t xml:space="preserve">• Contacts are validated; no login is created.
• The directory is the recipient list for messaging.
• Invalid or duplicate contacts are rejected.</t>
  </si>
  <si>
    <t xml:space="preserve">DM-FR-20 (Optional), DM-FR-10</t>
  </si>
  <si>
    <t xml:space="preserve">AM-NFR-10</t>
  </si>
  <si>
    <t xml:space="preserve">US-D25</t>
  </si>
  <si>
    <t xml:space="preserve">As a Disaster Management staff member with the moderator permission, I want to triage flagged and rate-limited submissions and see the backlog, so that abuse is handled without delaying genuine reports.</t>
  </si>
  <si>
    <t xml:space="preserve">• Flagged items appear in a queue.
• A backlog beyond threshold raises an alert.
• Genuine reports are never silently discarded.
• Near-identical bulk submissions are surfaced for human review and never auto-deleted.</t>
  </si>
  <si>
    <t xml:space="preserve">DM-FR-18, AM-FR-11, AM-FR-12, NU-FR-15 (Optional)</t>
  </si>
  <si>
    <t xml:space="preserve">EH-18, EH-21</t>
  </si>
  <si>
    <t xml:space="preserve">US-D26</t>
  </si>
  <si>
    <t xml:space="preserve">As a Disaster Management staff member, I want to use dashboards that foreground urgent and pending actions, so that I do not miss critical work.</t>
  </si>
  <si>
    <t xml:space="preserve">• Moderation queue and overdue dispatches are prominent.
• Expert review and task tests pass.</t>
  </si>
  <si>
    <t xml:space="preserve">DM-NFR-01</t>
  </si>
  <si>
    <t xml:space="preserve">US-D27</t>
  </si>
  <si>
    <t xml:space="preserve">As a Disaster Management staff member, I want to use operational screens that meet the accessibility baseline, so that all staff can operate them.</t>
  </si>
  <si>
    <t xml:space="preserve">• Accessibility audit passes where applicable.</t>
  </si>
  <si>
    <t xml:space="preserve">DM-NFR-02</t>
  </si>
  <si>
    <t xml:space="preserve">US-D28</t>
  </si>
  <si>
    <t xml:space="preserve">As a Disaster Management staff member, I want to have search, dashboard and map stay responsive under operational load, so that I can work during a surge.</t>
  </si>
  <si>
    <t xml:space="preserve">• Load and stress tests pass at approved load.</t>
  </si>
  <si>
    <t xml:space="preserve">DM-FR-02, DM-FR-07</t>
  </si>
  <si>
    <t xml:space="preserve">DM-NFR-03</t>
  </si>
  <si>
    <t xml:space="preserve">US-D29</t>
  </si>
  <si>
    <t xml:space="preserve">As a Disaster Management staff member, I want to keep core operations running when non-critical integrations fail, so that a failure in one service does not stop response.</t>
  </si>
  <si>
    <t xml:space="preserve">• Core operations degrade safely.
• Outage and failover tests pass.</t>
  </si>
  <si>
    <t xml:space="preserve">DM-NFR-04</t>
  </si>
  <si>
    <t xml:space="preserve">EH-06, EH-13</t>
  </si>
  <si>
    <t xml:space="preserve">US-D30</t>
  </si>
  <si>
    <t xml:space="preserve">As a Disaster Management staff member, I want to be limited to actions my permissions allow, so that no one can act beyond their authority.</t>
  </si>
  <si>
    <t xml:space="preserve">• Only three roles exist; moderator, closer, Publisher/Approver and supervisor are permissions.
• Self-escalation is impossible; RBAC and penetration tests pass.
• A page requested without the matching role redirects to login if I am not signed in, or shows an access-denied page if I am.</t>
  </si>
  <si>
    <t xml:space="preserve">DM-FR-01, AM-FR-02</t>
  </si>
  <si>
    <t xml:space="preserve">US-D31</t>
  </si>
  <si>
    <t xml:space="preserve">As a Disaster Management staff member, I want to have critical decisions attributable to me with time and rationale, so that decisions are accountable.</t>
  </si>
  <si>
    <t xml:space="preserve">• Closures and moderation outcomes record actor, time and rationale.
• Audit completeness tests pass.</t>
  </si>
  <si>
    <t xml:space="preserve">DM-FR-03, DM-FR-15, DM-FR-18</t>
  </si>
  <si>
    <t xml:space="preserve">E02</t>
  </si>
  <si>
    <t xml:space="preserve">US-D32</t>
  </si>
  <si>
    <t xml:space="preserve">As a Disaster Management staff member, I want to have dispatch, map and notification integrations use documented interfaces and state mappings, so that agency states map reliably to dispatch states.</t>
  </si>
  <si>
    <t xml:space="preserve">• Acknowledge, reject and progress states map to internal states.
• API contract tests pass.</t>
  </si>
  <si>
    <t xml:space="preserve">DM-FR-09, DM-FR-10</t>
  </si>
  <si>
    <t xml:space="preserve">EH-17</t>
  </si>
  <si>
    <t xml:space="preserve">US-D33</t>
  </si>
  <si>
    <t xml:space="preserve">As a Disaster Management staff member, I want to be sure loss of AI, map, notification or agency services never corrupts records or falsely advances state, so that I can trust the system after a failure.</t>
  </si>
  <si>
    <t xml:space="preserve">• No state advances without confirmation.
• Chaos and fault-injection tests pass.</t>
  </si>
  <si>
    <t xml:space="preserve">DM-FR-05, DM-FR-07, DM-FR-09</t>
  </si>
  <si>
    <t xml:space="preserve">EH-06, EH-12, EH-13</t>
  </si>
  <si>
    <t xml:space="preserve">US-D34</t>
  </si>
  <si>
    <t xml:space="preserve">As a Disaster Management staff member, I want to see AI factors, uncertainty and version metadata, so that I can judge whether to trust a recommendation.</t>
  </si>
  <si>
    <t xml:space="preserve">• Factors are understandable.
• Out-of-scope suggestions are flagged.</t>
  </si>
  <si>
    <t xml:space="preserve">US-D35</t>
  </si>
  <si>
    <t xml:space="preserve">As a Disaster Management staff member, I want to be sure critical decisions cannot be finalised by AI alone, so that a human stays accountable.</t>
  </si>
  <si>
    <t xml:space="preserve">• Workflow blocks AI-only finalisation.
• Negative tests pass.</t>
  </si>
  <si>
    <t xml:space="preserve">US-D36</t>
  </si>
  <si>
    <t xml:space="preserve">As a Disaster Management staff member, I want to have concurrent updates preserve incident, dispatch, resource and aid consistency, so that two staff cannot corrupt data.</t>
  </si>
  <si>
    <t xml:space="preserve">• Conflicting updates are refused with a clear message.
• Concurrency and transaction tests pass.</t>
  </si>
  <si>
    <t xml:space="preserve">DM-FR-03, DM-FR-08, DM-FR-13</t>
  </si>
  <si>
    <t xml:space="preserve">US-D37</t>
  </si>
  <si>
    <t xml:space="preserve">As a Disaster Management staff member, I want to see metric definitions, freshness and how pending and unknown records are treated, so that analytics can be trusted.</t>
  </si>
  <si>
    <t xml:space="preserve">• Only the three scenarios are analysed; Out of Scope and unknown records are shown only as separate counts.
• Out-of-scope and unknown records are counted separately and never mixed into scenario metrics.</t>
  </si>
  <si>
    <t xml:space="preserve">US-D38</t>
  </si>
  <si>
    <t xml:space="preserve">As a Disaster Management staff member with the supervisor permission, I want to have an unacknowledged dispatch escalate to me at the configured timeout, so that dispatches never stall.</t>
  </si>
  <si>
    <t xml:space="preserve">• Escalation notifies a supervisor-permission holder.
• Timeout, escalation and notification tests pass.
• Companion to US-D12: the functional behaviour is specified there; this story verifies it.</t>
  </si>
  <si>
    <t xml:space="preserve">US-D39</t>
  </si>
  <si>
    <t xml:space="preserve">As a Disaster Management staff member with the moderator permission, I want to keep the moderation backlog within its configured threshold, so that flagged content is reviewed promptly.</t>
  </si>
  <si>
    <t xml:space="preserve">• Backlog alerts fire at the threshold.
• Queue-load tests pass.</t>
  </si>
  <si>
    <t xml:space="preserve">DM-FR-18, AM-FR-11, AM-FR-12</t>
  </si>
  <si>
    <t xml:space="preserve">EH-21</t>
  </si>
  <si>
    <t xml:space="preserve">US-D40</t>
  </si>
  <si>
    <t xml:space="preserve">As a Disaster Management staff member with the Publisher/Approver permission, I want to publish only approved, versioned content attributable to its author and approver, so that the public receives authoritative information.</t>
  </si>
  <si>
    <t xml:space="preserve">• Every published item records author and approver.
• Publishing-permission and version-integrity tests pass.
• Companion to US-D15 and US-D21: the functional behaviour is specified there; this story verifies attribution and version integrity.</t>
  </si>
  <si>
    <t xml:space="preserve">DM-FR-11, DM-FR-17</t>
  </si>
  <si>
    <t xml:space="preserve">US-D41</t>
  </si>
  <si>
    <t xml:space="preserve">As a Disaster Management staff member, I want to follow documented manual fallbacks during a long integration outage (Optional), so that verification, dispatch recording and closure continue.</t>
  </si>
  <si>
    <t xml:space="preserve">• Manual procedures are documented.
• Tabletop and degraded-mode drills pass.</t>
  </si>
  <si>
    <t xml:space="preserve">DM-FR-03, DM-FR-09, DM-FR-15</t>
  </si>
  <si>
    <t xml:space="preserve">DM-NFR-16 (Optional)</t>
  </si>
  <si>
    <t xml:space="preserve">DRCH – Application Management User Stories</t>
  </si>
  <si>
    <t xml:space="preserve">US-A01</t>
  </si>
  <si>
    <t xml:space="preserve">As an Application Management administrator, I want to log in with MFA, so that platform administration is protected.</t>
  </si>
  <si>
    <t xml:space="preserve">• Valid credentials plus MFA give an admin session.
• Invalid or disabled accounts and MFA failure are refused.
• The console loads only after authentication.</t>
  </si>
  <si>
    <t xml:space="preserve">AM-FR-01</t>
  </si>
  <si>
    <t xml:space="preserve">AM-NFR-06</t>
  </si>
  <si>
    <t xml:space="preserve">EH-02</t>
  </si>
  <si>
    <t xml:space="preserve">US-A02</t>
  </si>
  <si>
    <t xml:space="preserve">As an Application Management administrator, I want to create, suspend and reactivate staff, admin and user accounts, so that only vetted people have access.</t>
  </si>
  <si>
    <t xml:space="preserve">• Staff and admin accounts are created only by me.
• Only the three roles can be assigned.
• Before and after states are audited.</t>
  </si>
  <si>
    <t xml:space="preserve">AM-FR-02</t>
  </si>
  <si>
    <t xml:space="preserve">US-A03</t>
  </si>
  <si>
    <t xml:space="preserve">As an Application Management administrator, I want to grant Publisher/Approver, moderator, closer and supervisor permissions inside Disaster Management, so that staff only get the authority they need.</t>
  </si>
  <si>
    <t xml:space="preserve">• Permissions are granted and revoked individually.
• No fourth role can be created.
• Changes take effect immediately and are audited.</t>
  </si>
  <si>
    <t xml:space="preserve">US-A04</t>
  </si>
  <si>
    <t xml:space="preserve">As an Application Management administrator, I want to be prevented from removing the last active administrator or escalating my own privileges, so that the platform is never left without control.</t>
  </si>
  <si>
    <t xml:space="preserve">• Removing the last admin is refused.
• Self-escalation is refused and logged.</t>
  </si>
  <si>
    <t xml:space="preserve">US-A05</t>
  </si>
  <si>
    <t xml:space="preserve">As an Application Management administrator, I want to manage scenario, notification, timeout, escalation and duplicate-detection settings, so that behaviour can change safely.</t>
  </si>
  <si>
    <t xml:space="preserve">• Settings are versioned and audited.
• The scenario setting can enable or disable only the three scenarios.
• Attempts to add a scenario or role are refused.</t>
  </si>
  <si>
    <t xml:space="preserve">AM-FR-03</t>
  </si>
  <si>
    <t xml:space="preserve">AM-NFR-01, AM-NFR-14</t>
  </si>
  <si>
    <t xml:space="preserve">US-A06</t>
  </si>
  <si>
    <t xml:space="preserve">As an Application Management administrator, I want to monitor services, queues, storage, integrations and the moderation backlog, so that I detect problems early.</t>
  </si>
  <si>
    <t xml:space="preserve">• A health dashboard shows current or last-known state.
• Alerts are raised for failures and backlog.
• Monitoring gaps are visible.</t>
  </si>
  <si>
    <t xml:space="preserve">AM-FR-04</t>
  </si>
  <si>
    <t xml:space="preserve">AM-NFR-03</t>
  </si>
  <si>
    <t xml:space="preserve">US-A07</t>
  </si>
  <si>
    <t xml:space="preserve">As an Application Management administrator, I want to search and filter protected audit records of security and operational events, so that I can investigate and prove what happened.</t>
  </si>
  <si>
    <t xml:space="preserve">• Moderation decisions, closures and staff-recorded agency acknowledgements are included.
• Logs are protected from alteration.
• Access to logs is controlled.</t>
  </si>
  <si>
    <t xml:space="preserve">AM-FR-05</t>
  </si>
  <si>
    <t xml:space="preserve">AM-NFR-09, DM-NFR-06</t>
  </si>
  <si>
    <t xml:space="preserve">US-A08</t>
  </si>
  <si>
    <t xml:space="preserve">As an Application Management administrator, I want to validate, correct and manage the lifecycle and retention of data, so that data quality stays high.</t>
  </si>
  <si>
    <t xml:space="preserve">• Corrections preserve traceability.
• Unauthorised bulk changes are refused.</t>
  </si>
  <si>
    <t xml:space="preserve">AM-FR-06</t>
  </si>
  <si>
    <t xml:space="preserve">AM-NFR-04</t>
  </si>
  <si>
    <t xml:space="preserve">US-A09</t>
  </si>
  <si>
    <t xml:space="preserve">As an Application Management administrator, I want to manage security controls, secrets and security incidents, so that the platform resists attacks.</t>
  </si>
  <si>
    <t xml:space="preserve">• Secrets are protected and rotated.
• Every change is audited.
• Actionable alerts are shown.</t>
  </si>
  <si>
    <t xml:space="preserve">AM-FR-07</t>
  </si>
  <si>
    <t xml:space="preserve">US-A10</t>
  </si>
  <si>
    <t xml:space="preserve">As an Application Management administrator, I want to create, validate and restore backups, so that data can be recovered after a failure.</t>
  </si>
  <si>
    <t xml:space="preserve">• Backups are protected and integrity-checked.
• Backup age, status and restore verification are shown.
• Corrupt backups are detected.</t>
  </si>
  <si>
    <t xml:space="preserve">AM-FR-08</t>
  </si>
  <si>
    <t xml:space="preserve">AM-NFR-05</t>
  </si>
  <si>
    <t xml:space="preserve">US-A11</t>
  </si>
  <si>
    <t xml:space="preserve">As an Application Management administrator, I want to configure notification channels, templates, routing and retry including the in-app fallback, so that notifications are reliable.</t>
  </si>
  <si>
    <t xml:space="preserve">• Configuration is validated, versioned and tested before activation.
• The in-app channel is the fallback.</t>
  </si>
  <si>
    <t xml:space="preserve">AM-FR-09</t>
  </si>
  <si>
    <t xml:space="preserve">US-A12</t>
  </si>
  <si>
    <t xml:space="preserve">As an Application Management administrator, I want to monitor the payment gateway, callbacks and reconciliation, so that donations are accurate and safe.</t>
  </si>
  <si>
    <t xml:space="preserve">• Pending, Confirmed, Failed and mismatches are shown separately.
• Timeouts and mismatches are flagged.
• Invalid callbacks are rejected.</t>
  </si>
  <si>
    <t xml:space="preserve">AM-FR-10</t>
  </si>
  <si>
    <t xml:space="preserve">AM-NFR-07</t>
  </si>
  <si>
    <t xml:space="preserve">EH-08, EH-09</t>
  </si>
  <si>
    <t xml:space="preserve">US-A13</t>
  </si>
  <si>
    <t xml:space="preserve">As an Application Management administrator, I want to configure per-account, per-IP and per-endpoint rate limits and block or allow lists, so that spam and bots are contained.</t>
  </si>
  <si>
    <t xml:space="preserve">• Limits apply to sign-up, login, reporting, uploads, flags and donations.
• Every action is logged.
• Legitimate reports are never silently discarded and thresholds are not revealed.
• A source that keeps exceeding limits is throttled and then blocked, Application Management is alerted, and other users' reports continue to be accepted.
• A block can be lifted after review.
• If the abuse-control service itself fails, it fails safe and an alert is raised.</t>
  </si>
  <si>
    <t xml:space="preserve">AM-FR-11</t>
  </si>
  <si>
    <t xml:space="preserve">AM-NFR-13</t>
  </si>
  <si>
    <t xml:space="preserve">US-A14</t>
  </si>
  <si>
    <t xml:space="preserve">As an Application Management administrator, I want to configure the moderation policy (allowed types, scan settings, auto-quarantine rules, backlog thresholds), so that moderators enforce a consistent policy.</t>
  </si>
  <si>
    <t xml:space="preserve">• Policy is versioned and audited.
• Moderators see the effective policy and version.
• A backlog above threshold raises an alert.</t>
  </si>
  <si>
    <t xml:space="preserve">AM-FR-12</t>
  </si>
  <si>
    <t xml:space="preserve">US-A15</t>
  </si>
  <si>
    <t xml:space="preserve">As an Application Management administrator, I want to oversee user export and deletion requests (Optional), so that privacy requests are handled lawfully.</t>
  </si>
  <si>
    <t xml:space="preserve">• Identity checks and retention rules are applied.
• Outcome and reason are recorded.
• Retention conflicts lead to refusal with reason.</t>
  </si>
  <si>
    <t xml:space="preserve">AM-FR-13 (Optional)</t>
  </si>
  <si>
    <t xml:space="preserve">AM-NFR-16 (Optional)</t>
  </si>
  <si>
    <t xml:space="preserve">US-A16</t>
  </si>
  <si>
    <t xml:space="preserve">As an Application Management administrator, I want to require a second administrator to approve critical configuration and role changes (Optional), so that no single person can make risky changes.</t>
  </si>
  <si>
    <t xml:space="preserve">• Changes stay pending until a different admin approves.
• Self-approval is refused.
• Both actors are audited.
• A change that is not approved (approval timeout, or no second administrator available) stays unapplied and is shown as pending.</t>
  </si>
  <si>
    <t xml:space="preserve">AM-FR-14 (Optional)</t>
  </si>
  <si>
    <t xml:space="preserve">AM-NFR-06, AM-NFR-14</t>
  </si>
  <si>
    <t xml:space="preserve">US-A17</t>
  </si>
  <si>
    <t xml:space="preserve">As an Application Management administrator, I want to work with modular, documented and testable services and configuration, so that the system is easy to change.</t>
  </si>
  <si>
    <t xml:space="preserve">• Configuration covers scenarios, notifications, timeouts, escalation, duplicate detection, abuse thresholds and moderation policy.
• Architecture and change-impact reviews pass.</t>
  </si>
  <si>
    <t xml:space="preserve">AM-FR-03, AM-FR-11, AM-FR-12</t>
  </si>
  <si>
    <t xml:space="preserve">AM-NFR-01</t>
  </si>
  <si>
    <t xml:space="preserve">US-A18</t>
  </si>
  <si>
    <t xml:space="preserve">As an Application Management administrator, I want to have the platform scale with users, incidents, evidence and contributions, so that growth does not force a redesign.</t>
  </si>
  <si>
    <t xml:space="preserve">• Capacity and load tests pass on approved assumptions.</t>
  </si>
  <si>
    <t xml:space="preserve">AM-NFR-02</t>
  </si>
  <si>
    <t xml:space="preserve">US-A19</t>
  </si>
  <si>
    <t xml:space="preserve">As an Application Management administrator, I want to receive actionable telemetry and alerts from critical services and integrations, so that I can respond before users are affected.</t>
  </si>
  <si>
    <t xml:space="preserve">• Moderation backlog and agency/dispatch integration emit telemetry.
• Monitoring coverage and alert simulations pass.</t>
  </si>
  <si>
    <t xml:space="preserve">US-A20</t>
  </si>
  <si>
    <t xml:space="preserve">As an Application Management administrator, I want to make administrative changes with validation, controlled transactions and audit records, so that data stays consistent.</t>
  </si>
  <si>
    <t xml:space="preserve">• Failed changes roll back.
• Mutation and rollback tests pass.</t>
  </si>
  <si>
    <t xml:space="preserve">US-A21</t>
  </si>
  <si>
    <t xml:space="preserve">As an Application Management administrator, I want to restore from protected, verifiable backups under an approved recovery plan, so that I can recover from disaster.</t>
  </si>
  <si>
    <t xml:space="preserve">• Restore drills succeed.
• Integrity tests pass.</t>
  </si>
  <si>
    <t xml:space="preserve">US-A22</t>
  </si>
  <si>
    <t xml:space="preserve">As an Application Management administrator, I want to have admin interfaces use strong authentication, least privilege and protected secrets, so that the admin surface is hard to attack.</t>
  </si>
  <si>
    <t xml:space="preserve">• Staff and admin accounts require MFA.
• Role and scenario lists change only through a formal change.
• Security and secret-scanning tests pass.</t>
  </si>
  <si>
    <t xml:space="preserve">AM-FR-01, AM-FR-07</t>
  </si>
  <si>
    <t xml:space="preserve">US-A23</t>
  </si>
  <si>
    <t xml:space="preserve">As an Application Management administrator, I want to observe gateway health, callback authenticity, mismatches and pending transactions, so that payment issues are caught quickly.</t>
  </si>
  <si>
    <t xml:space="preserve">• Outage, callback and reconciliation simulations pass.
• Companion to US-A12: the monitoring behaviour is specified there; this story verifies simulations.</t>
  </si>
  <si>
    <t xml:space="preserve">US-A24</t>
  </si>
  <si>
    <t xml:space="preserve">As an Application Management administrator, I want to have failed notifications retry safely and stay visible without duplicate spam, so that messages are reliable.</t>
  </si>
  <si>
    <t xml:space="preserve">• In-app status is the fallback source of truth.
• Provider-outage and duplicate-prevention tests pass.
• Companion to US-A11: the configuration behaviour is specified there; this story verifies safe retry and duplicate prevention.</t>
  </si>
  <si>
    <t xml:space="preserve">US-A25</t>
  </si>
  <si>
    <t xml:space="preserve">As an Application Management administrator, I want to have admin, security and configuration actions retained and protected from alteration, so that the audit trail is trustworthy.</t>
  </si>
  <si>
    <t xml:space="preserve">• Staff-recorded agency acknowledgements are included.
• Audit access and integrity tests pass.</t>
  </si>
  <si>
    <t xml:space="preserve">AM-NFR-09</t>
  </si>
  <si>
    <t xml:space="preserve">US-A26</t>
  </si>
  <si>
    <t xml:space="preserve">As an Application Management administrator, I want to have supported platform and interface versions documented including agency integration contract terms, so that integrations stay compatible.</t>
  </si>
  <si>
    <t xml:space="preserve">• Contract tests pass.</t>
  </si>
  <si>
    <t xml:space="preserve">US-A27</t>
  </si>
  <si>
    <t xml:space="preserve">As an Application Management administrator, I want to have deployment follow data-protection, payment, accessibility, retention and security obligations, so that the platform stays compliant.</t>
  </si>
  <si>
    <t xml:space="preserve">• A compliance evidence checklist is completed.</t>
  </si>
  <si>
    <t xml:space="preserve">AM-FR-06, AM-FR-07</t>
  </si>
  <si>
    <t xml:space="preserve">AM-NFR-11</t>
  </si>
  <si>
    <t xml:space="preserve">US-A28</t>
  </si>
  <si>
    <t xml:space="preserve">As an Application Management administrator, I want to have component failures cause safe degradation, recovery or operator escalation, so that there is no silent data loss.</t>
  </si>
  <si>
    <t xml:space="preserve">• Failure-injection and recovery tests pass.</t>
  </si>
  <si>
    <t xml:space="preserve">AM-FR-04, AM-FR-08</t>
  </si>
  <si>
    <t xml:space="preserve">AM-NFR-12</t>
  </si>
  <si>
    <t xml:space="preserve">US-A29</t>
  </si>
  <si>
    <t xml:space="preserve">As an Application Management administrator, I want to have rate limits and abuse controls hold under load without blocking genuine emergency traffic, so that the platform stays usable during attacks.</t>
  </si>
  <si>
    <t xml:space="preserve">• Attack simulation shows low false positives.</t>
  </si>
  <si>
    <t xml:space="preserve">US-A30</t>
  </si>
  <si>
    <t xml:space="preserve">As an Application Management administrator, I want to have scenario, account role and permission assignments, timeout and moderation settings versioned, attributable and reversible, so that configuration changes can be audited and rolled back.</t>
  </si>
  <si>
    <t xml:space="preserve">• Configuration audit, rollback and approval tests pass.
• The role list is fixed (AM-NFR-06): only which of the three roles and permissions an account holds is versioned and reversible; a rollback can never create or restore a role outside the three.</t>
  </si>
  <si>
    <t xml:space="preserve">AM-FR-02, AM-FR-03, AM-FR-14 (Optional)</t>
  </si>
  <si>
    <t xml:space="preserve">US-A31</t>
  </si>
  <si>
    <t xml:space="preserve">As an Application Management administrator, I want to trace every FR and NFR to a design component and a test case (Optional), so that nothing is left untested.</t>
  </si>
  <si>
    <t xml:space="preserve">• Traceability matrix is reviewed.</t>
  </si>
  <si>
    <t xml:space="preserve">– (NFR-only: no FR is defined for traceability)</t>
  </si>
  <si>
    <t xml:space="preserve">AM-NFR-15 (Optional)</t>
  </si>
  <si>
    <t xml:space="preserve">US-A32</t>
  </si>
  <si>
    <t xml:space="preserve">As an Application Management administrator, I want to have retention, archival and deletion schedules defined and enforced per data class (Optional), so that data is not kept longer than allowed.</t>
  </si>
  <si>
    <t xml:space="preserve">• Retention-policy and deletion-job tests pass.</t>
  </si>
  <si>
    <t xml:space="preserve">AM-FR-13 (Optional), AM-FR-06</t>
  </si>
  <si>
    <t xml:space="preserve">DRCH – External Parties User Stories</t>
  </si>
  <si>
    <t xml:space="preserve">US-X01</t>
  </si>
  <si>
    <t xml:space="preserve">As an external agency contact, I want to receive a dispatch or coordination message from the Hub, so that I can act on it without needing an account.</t>
  </si>
  <si>
    <t xml:space="preserve">• Agencies hold no accounts or login.
• Only information staff chose to share is sent.</t>
  </si>
  <si>
    <t xml:space="preserve">DM-FR-10, DM-FR-20 (Optional)</t>
  </si>
  <si>
    <t xml:space="preserve">US-X02</t>
  </si>
  <si>
    <t xml:space="preserve">As an external agency contact, I want to have my acknowledgement or progress recorded against the dispatch, so that the Hub shows the true dispatch state.</t>
  </si>
  <si>
    <t xml:space="preserve">• Staff or a trusted integration records the acknowledgement with timestamp and recorder.
• Agency states map to internal dispatch states.</t>
  </si>
  <si>
    <t xml:space="preserve">US-X03</t>
  </si>
  <si>
    <t xml:space="preserve">As an external agency contact, I want to decline a dispatch and give a reason, so that the Hub can reassign help quickly.</t>
  </si>
  <si>
    <t xml:space="preserve">• The dispatch shows Rejected with reason and recorder.
• Success is never shown.</t>
  </si>
  <si>
    <t xml:space="preserve">EH-16</t>
  </si>
  <si>
    <t xml:space="preserve">US-X04</t>
  </si>
  <si>
    <t xml:space="preserve">As an external agency contact, I want to send a late acknowledgement after escalation without breaking the record, so that history stays accurate.</t>
  </si>
  <si>
    <t xml:space="preserve">• Both events are kept in history.
• The conflict is flagged for staff.
• The late acknowledgement is recorded by staff or a trusted integration with the recorder stored; the agency has no login.</t>
  </si>
  <si>
    <t xml:space="preserve">US-X05</t>
  </si>
  <si>
    <t xml:space="preserve">As the payment gateway, I want to return a signed callback with transaction status to the Hub, so that donations are confirmed only when genuine.</t>
  </si>
  <si>
    <t xml:space="preserve">• Callback authenticity is verified.
• Invalid or mismatched callbacks are flagged.</t>
  </si>
  <si>
    <t xml:space="preserve">NU-FR-09, AM-FR-10</t>
  </si>
  <si>
    <t xml:space="preserve">NU-NFR-08, AM-NFR-07</t>
  </si>
  <si>
    <t xml:space="preserve">US-X06</t>
  </si>
  <si>
    <t xml:space="preserve">As the payment gateway, I want to remain unavailable without causing false donation success, so that donors are not misled.</t>
  </si>
  <si>
    <t xml:space="preserve">• Hub shows temporary unavailability.
• Monitoring raises an alert.</t>
  </si>
  <si>
    <t xml:space="preserve">NU-NFR-04, AM-NFR-07</t>
  </si>
  <si>
    <t xml:space="preserve">US-X07</t>
  </si>
  <si>
    <t xml:space="preserve">As a notification provider, I want to report delivery success or failure for each message, so that the Hub can retry or fall back to in-app status.</t>
  </si>
  <si>
    <t xml:space="preserve">• Provider result is recorded.
• Retries follow policy without duplicates.</t>
  </si>
  <si>
    <t xml:space="preserve">US-X08</t>
  </si>
  <si>
    <t xml:space="preserve">As the map service, I want to return map data for incident and resource display, so that staff can see locations.</t>
  </si>
  <si>
    <t xml:space="preserve">• Outage falls back to list and manual location.
• Records are never corrupted by a map failure.</t>
  </si>
  <si>
    <t xml:space="preserve">DM-FR-07, NU-FR-04</t>
  </si>
  <si>
    <t xml:space="preserve">DM-NFR-08, DM-NFR-07</t>
  </si>
  <si>
    <t xml:space="preserve">US-X09</t>
  </si>
  <si>
    <t xml:space="preserve">As the AI triage service, I want to provide advisory classification with confidence, so that staff can triage faster.</t>
  </si>
  <si>
    <t xml:space="preserve">• Low confidence or outage is marked uncertain.
• Manual triage continues when AI is unavailable.</t>
  </si>
  <si>
    <t xml:space="preserve">DM-FR-05, DM-FR-04</t>
  </si>
  <si>
    <t xml:space="preserve">DM-NFR-08, DM-NFR-09</t>
  </si>
  <si>
    <t xml:space="preserve">US-X10</t>
  </si>
  <si>
    <t xml:space="preserve">As the identity service, I want to authenticate users and staff, so that only valid people sign in.</t>
  </si>
  <si>
    <t xml:space="preserve">• Identity-service failure shows a safe error.
• No session is created on failure.</t>
  </si>
  <si>
    <t xml:space="preserve">NU-FR-01, DM-FR-01, AM-FR-01</t>
  </si>
  <si>
    <t xml:space="preserve">Epics and sprint grouping (stories counted from the story sheets)</t>
  </si>
  <si>
    <t xml:space="preserve">Epic ID</t>
  </si>
  <si>
    <t xml:space="preserve">Goal</t>
  </si>
  <si>
    <t xml:space="preserve">Stakeholders</t>
  </si>
  <si>
    <t xml:space="preserve">Stories</t>
  </si>
  <si>
    <t xml:space="preserve">Count</t>
  </si>
  <si>
    <t xml:space="preserve">Conditional</t>
  </si>
  <si>
    <t xml:space="preserve">Done when</t>
  </si>
  <si>
    <t xml:space="preserve">Identity, Authentication &amp; Access Control</t>
  </si>
  <si>
    <t xml:space="preserve">Three-role sign-up, MFA login, server-side RBAC and account/permission administration.</t>
  </si>
  <si>
    <t xml:space="preserve">Normal User; Disaster Management; Application Management</t>
  </si>
  <si>
    <t xml:space="preserve">US-N01 US-N02 US-D01 US-A01 US-A02 US-A03 US-A04 US-D30 US-A22 US-X10</t>
  </si>
  <si>
    <t xml:space="preserve">Each role reaches only its own area; last admin cannot be removed; no self-escalation.</t>
  </si>
  <si>
    <t xml:space="preserve">Audit, Configuration &amp; Security Governance</t>
  </si>
  <si>
    <t xml:space="preserve">Protected audit trail, versioned configuration with rollback, security controls and compliant deployment.</t>
  </si>
  <si>
    <t xml:space="preserve">Application Management; Disaster Management</t>
  </si>
  <si>
    <t xml:space="preserve">US-A05 US-A07 US-A09 US-A17 US-A20 US-A25 US-A27 US-A30 US-D31 US-A16 US-A31</t>
  </si>
  <si>
    <t xml:space="preserve">Audit records cannot be altered; every config change is validated, attributable and reversible.</t>
  </si>
  <si>
    <t xml:space="preserve">Abuse Protection &amp; Content Safety</t>
  </si>
  <si>
    <t xml:space="preserve">Rate limits, moderation policy, evidence scanning, moderation queue and backlog control.</t>
  </si>
  <si>
    <t xml:space="preserve">US-A13 US-A14 US-A29 US-N33 US-N34 US-D22 US-D25 US-D39</t>
  </si>
  <si>
    <t xml:space="preserve">No unapproved evidence is visible beyond reviewing staff; abuse controls hold without blocking genuine reports.</t>
  </si>
  <si>
    <t xml:space="preserve">Incident Reporting, Tracking &amp; Reporter Privacy</t>
  </si>
  <si>
    <t xml:space="preserve">Reporter journey: profile, three-scenario report, location, evidence, retry, status tracking, reply, correction and withdrawal.</t>
  </si>
  <si>
    <t xml:space="preserve">Normal User</t>
  </si>
  <si>
    <t xml:space="preserve">US-N03 US-N04 US-N05 US-N06 US-N07 US-N08 US-N16 US-N17 US-N19 US-N26 US-N30 US-N18 US-N35</t>
  </si>
  <si>
    <t xml:space="preserve">A report is submitted once, tracked with clear states and visible only to authorised staff.</t>
  </si>
  <si>
    <t xml:space="preserve">Verification &amp; Staff Dashboard</t>
  </si>
  <si>
    <t xml:space="preserve">Staff dashboard, evidence review, verify/reject/request information, duplicate candidates.</t>
  </si>
  <si>
    <t xml:space="preserve">Disaster Management</t>
  </si>
  <si>
    <t xml:space="preserve">US-D02 US-D03 US-D04 US-D05 US-D26</t>
  </si>
  <si>
    <t xml:space="preserve">A Submitted incident reaches Verified, Rejected or Needs Information with a rationale.</t>
  </si>
  <si>
    <t xml:space="preserve">AI-Assisted Triage &amp; Prioritisation</t>
  </si>
  <si>
    <t xml:space="preserve">Advisory AI with confidence and uncertainty; human accept/modify/reject; recorded priority.</t>
  </si>
  <si>
    <t xml:space="preserve">Disaster Management; External Parties (AI service)</t>
  </si>
  <si>
    <t xml:space="preserve">US-D06 US-D07 US-D08 US-D34 US-D35 US-X09</t>
  </si>
  <si>
    <t xml:space="preserve">AI never finalises a decision; every decision is recorded with rationale.</t>
  </si>
  <si>
    <t xml:space="preserve">Resources &amp; Operational Map</t>
  </si>
  <si>
    <t xml:space="preserve">Operational map, resource tracking, reservation and release.</t>
  </si>
  <si>
    <t xml:space="preserve">Disaster Management; External Parties (map service)</t>
  </si>
  <si>
    <t xml:space="preserve">US-D09 US-D10 US-X08</t>
  </si>
  <si>
    <t xml:space="preserve">Resources cannot be double-booked and the map shows incidents, resources and areas.</t>
  </si>
  <si>
    <t xml:space="preserve">Dispatch &amp; Agency Coordination</t>
  </si>
  <si>
    <t xml:space="preserve">Dispatch lifecycle, acknowledgement, rejection, timeout and escalation, agency messaging and late acknowledgement.</t>
  </si>
  <si>
    <t xml:space="preserve">Disaster Management; Normal User; External Parties (agencies)</t>
  </si>
  <si>
    <t xml:space="preserve">US-D11 US-D12 US-D13 US-D14 US-D38 US-N32 US-X01 US-X02 US-X03 US-X04 US-X07 US-D32 US-D24</t>
  </si>
  <si>
    <t xml:space="preserve">State advances only on a recorded confirmation and no false success is shown.</t>
  </si>
  <si>
    <t xml:space="preserve">Donations &amp; Payments</t>
  </si>
  <si>
    <t xml:space="preserve">Campaigns, gateway handoff, signed callbacks, Pending/Confirmed/Failed states, receipts, donor privacy and payment monitoring.</t>
  </si>
  <si>
    <t xml:space="preserve">Normal User; Disaster Management; Application Management; External Parties (gateway)</t>
  </si>
  <si>
    <t xml:space="preserve">US-D20 US-N12 US-N13 US-N28 US-N29 US-X05 US-X06 US-N09 US-N31 US-D16 US-A12 US-A23</t>
  </si>
  <si>
    <t xml:space="preserve">No false receipt, no double charge, gateway outage never shows false success.</t>
  </si>
  <si>
    <t xml:space="preserve">Physical Aid Contributions</t>
  </si>
  <si>
    <t xml:space="preserve">Aid registration, verification, allocation to approved needs and delivery confirmation.</t>
  </si>
  <si>
    <t xml:space="preserve">Normal User; Disaster Management</t>
  </si>
  <si>
    <t xml:space="preserve">US-N14 US-N15 US-D17 US-D23</t>
  </si>
  <si>
    <t xml:space="preserve">Delivered needs an authorised confirmation.</t>
  </si>
  <si>
    <t xml:space="preserve">Public Communication &amp; Safety Content</t>
  </si>
  <si>
    <t xml:space="preserve">Versioned approval and publication of public updates and safety guidance.</t>
  </si>
  <si>
    <t xml:space="preserve">US-D15 US-D21 US-D40 US-N11 US-N21</t>
  </si>
  <si>
    <t xml:space="preserve">Unapproved content is never public; every published version is attributable.</t>
  </si>
  <si>
    <t xml:space="preserve">Incident Closure &amp; Analytics</t>
  </si>
  <si>
    <t xml:space="preserve">Incident closure with dependency checks, analytics and metric definitions.</t>
  </si>
  <si>
    <t xml:space="preserve">US-D19 US-D18 US-D37</t>
  </si>
  <si>
    <t xml:space="preserve">Every incident ends in a clear final state; metrics show definitions and freshness.</t>
  </si>
  <si>
    <t xml:space="preserve">Notifications &amp; Alerts</t>
  </si>
  <si>
    <t xml:space="preserve">Notification channels and routing, user alerts, retry without duplicate spam.</t>
  </si>
  <si>
    <t xml:space="preserve">Application Management; Normal User</t>
  </si>
  <si>
    <t xml:space="preserve">US-A11 US-N10 US-A24</t>
  </si>
  <si>
    <t xml:space="preserve">Alerts reach users with in-app fallback; failures retry safely and stay visible.</t>
  </si>
  <si>
    <t xml:space="preserve">Resilience, Performance &amp; Operations</t>
  </si>
  <si>
    <t xml:space="preserve">Backups and restore, monitoring, degradation, concurrency, scalability, integration-failure safety, release documentation.</t>
  </si>
  <si>
    <t xml:space="preserve">Application Management; Disaster Management; Normal User</t>
  </si>
  <si>
    <t xml:space="preserve">US-A06 US-A10 US-A18 US-A19 US-A21 US-A26 US-A28 US-D28 US-D29 US-D33 US-D36 US-N25 US-D41</t>
  </si>
  <si>
    <t xml:space="preserve">Core functions keep working when dependencies fail; targets reported TBD until approved.</t>
  </si>
  <si>
    <t xml:space="preserve">Usability, Accessibility &amp; Compatibility</t>
  </si>
  <si>
    <t xml:space="preserve">Clear forms, accessibility baseline, feedback timing and supported browsers.</t>
  </si>
  <si>
    <t xml:space="preserve">US-N22 US-N23 US-N24 US-N27 US-D27</t>
  </si>
  <si>
    <t xml:space="preserve">Accessibility and browser matrix pass; targets as approved.</t>
  </si>
  <si>
    <t xml:space="preserve">Data Lifecycle &amp; Privacy Rights</t>
  </si>
  <si>
    <t xml:space="preserve">Data validation, retention and lifecycle; data export and deletion rights.</t>
  </si>
  <si>
    <t xml:space="preserve">US-A08 US-N20 US-N36 US-A15 US-A32</t>
  </si>
  <si>
    <t xml:space="preserve">Corrections preserve traceability; retention rules enforced; rights requests handled within limits.</t>
  </si>
  <si>
    <t xml:space="preserve">Total</t>
  </si>
  <si>
    <t xml:space="preserve">Check</t>
  </si>
  <si>
    <t xml:space="preserve">Note</t>
  </si>
  <si>
    <t xml:space="preserve">An epic may span sprints when its stories depend on different features; the sprint plan lists what is completed later. Conditional stories are the 12 Optional stories and are not counted in S1-S5. Epic-level conflicts are CR-57 to CR-68 in the Conflict Register.</t>
  </si>
  <si>
    <t xml:space="preserve">DRCH – FR / NFR / Error Case Coverage</t>
  </si>
  <si>
    <t xml:space="preserve">Requirement</t>
  </si>
  <si>
    <t xml:space="preserve">Type</t>
  </si>
  <si>
    <t xml:space="preserve">Optional?</t>
  </si>
  <si>
    <t xml:space="preserve">Covered by story ID(s)</t>
  </si>
  <si>
    <t xml:space="preserve">NU-FR-01</t>
  </si>
  <si>
    <t xml:space="preserve">FR</t>
  </si>
  <si>
    <t xml:space="preserve">No</t>
  </si>
  <si>
    <t xml:space="preserve">US-N01, US-N02, US-X10</t>
  </si>
  <si>
    <t xml:space="preserve">US-N03, US-N26</t>
  </si>
  <si>
    <t xml:space="preserve">US-N04, US-N05, US-N19, US-N22, US-N23, US-N24, US-N25, US-N27, US-N32, US-N33</t>
  </si>
  <si>
    <t xml:space="preserve">US-N06, US-N26, US-X08</t>
  </si>
  <si>
    <t xml:space="preserve">NU-FR-05</t>
  </si>
  <si>
    <t xml:space="preserve">US-N07, US-N34</t>
  </si>
  <si>
    <t xml:space="preserve">US-N08, US-N09, US-N23, US-N30</t>
  </si>
  <si>
    <t xml:space="preserve">NU-FR-07</t>
  </si>
  <si>
    <t xml:space="preserve">US-N10, US-N32, US-X07</t>
  </si>
  <si>
    <t xml:space="preserve">NU-FR-08</t>
  </si>
  <si>
    <t xml:space="preserve">US-N11, US-N25</t>
  </si>
  <si>
    <t xml:space="preserve">US-N12, US-N13, US-N28, US-N29, US-N31, US-X05, US-X06</t>
  </si>
  <si>
    <t xml:space="preserve">US-N14, US-N15</t>
  </si>
  <si>
    <t xml:space="preserve">US-N16, US-D04</t>
  </si>
  <si>
    <t xml:space="preserve">NU-FR-13</t>
  </si>
  <si>
    <t xml:space="preserve">Yes</t>
  </si>
  <si>
    <t xml:space="preserve">US-N18, US-N19, US-N35</t>
  </si>
  <si>
    <t xml:space="preserve">NU-FR-14</t>
  </si>
  <si>
    <t xml:space="preserve">US-N20, US-N36</t>
  </si>
  <si>
    <t xml:space="preserve">NU-FR-15</t>
  </si>
  <si>
    <t xml:space="preserve">US-N21, US-D25</t>
  </si>
  <si>
    <t xml:space="preserve">US-D01, US-D30, US-X10</t>
  </si>
  <si>
    <t xml:space="preserve">US-D02, US-D26, US-D27, US-D28, US-D29</t>
  </si>
  <si>
    <t xml:space="preserve">US-D03, US-D04, US-D31, US-D36, US-D41</t>
  </si>
  <si>
    <t xml:space="preserve">US-D05, US-X09</t>
  </si>
  <si>
    <t xml:space="preserve">US-D06, US-D07, US-D33, US-D34, US-D35, US-X09</t>
  </si>
  <si>
    <t xml:space="preserve">US-D09, US-D28, US-D33, US-X08</t>
  </si>
  <si>
    <t xml:space="preserve">US-D10, US-D36</t>
  </si>
  <si>
    <t xml:space="preserve">US-D11, US-D12, US-D13, US-D32, US-D33, US-D38, US-D41, US-X02, US-X03</t>
  </si>
  <si>
    <t xml:space="preserve">US-D13, US-D14, US-D24, US-D32, US-X01, US-X02, US-X03, US-X04</t>
  </si>
  <si>
    <t xml:space="preserve">US-D15, US-D40</t>
  </si>
  <si>
    <t xml:space="preserve">US-D17, US-D36</t>
  </si>
  <si>
    <t xml:space="preserve">US-D18, US-D37</t>
  </si>
  <si>
    <t xml:space="preserve">US-D19, US-D31, US-D41</t>
  </si>
  <si>
    <t xml:space="preserve">US-N11, US-D21, US-D40</t>
  </si>
  <si>
    <t xml:space="preserve">US-N07, US-N21, US-N34, US-D22, US-D25, US-D31, US-D39</t>
  </si>
  <si>
    <t xml:space="preserve">DM-FR-19</t>
  </si>
  <si>
    <t xml:space="preserve">DM-FR-20</t>
  </si>
  <si>
    <t xml:space="preserve">US-D24, US-X01</t>
  </si>
  <si>
    <t xml:space="preserve">US-A01, US-A22, US-X10</t>
  </si>
  <si>
    <t xml:space="preserve">US-D30, US-A02, US-A03, US-A04, US-A30</t>
  </si>
  <si>
    <t xml:space="preserve">US-D12, US-D38, US-A05, US-A17, US-A30</t>
  </si>
  <si>
    <t xml:space="preserve">US-A06, US-A18, US-A19, US-A26, US-A28</t>
  </si>
  <si>
    <t xml:space="preserve">US-A07, US-A25</t>
  </si>
  <si>
    <t xml:space="preserve">US-A08, US-A20, US-A27, US-A32</t>
  </si>
  <si>
    <t xml:space="preserve">US-A09, US-A22, US-A27</t>
  </si>
  <si>
    <t xml:space="preserve">US-A10, US-A21, US-A28</t>
  </si>
  <si>
    <t xml:space="preserve">US-N10, US-A11, US-A24, US-X07</t>
  </si>
  <si>
    <t xml:space="preserve">US-A12, US-A23, US-X05, US-X06</t>
  </si>
  <si>
    <t xml:space="preserve">US-N01, US-N02, US-N33, US-D25, US-D39, US-A13, US-A17, US-A29</t>
  </si>
  <si>
    <t xml:space="preserve">US-D25, US-D39, US-A14, US-A17</t>
  </si>
  <si>
    <t xml:space="preserve">AM-FR-13</t>
  </si>
  <si>
    <t xml:space="preserve">US-A15, US-A32</t>
  </si>
  <si>
    <t xml:space="preserve">AM-FR-14</t>
  </si>
  <si>
    <t xml:space="preserve">US-A16, US-A30</t>
  </si>
  <si>
    <t xml:space="preserve">NFR</t>
  </si>
  <si>
    <t xml:space="preserve">US-N04, US-N05, US-N22</t>
  </si>
  <si>
    <t xml:space="preserve">US-N06, US-N25, US-X06, US-X10</t>
  </si>
  <si>
    <t xml:space="preserve">US-N03, US-N26, US-D14, US-X01</t>
  </si>
  <si>
    <t xml:space="preserve">US-N12, US-N28</t>
  </si>
  <si>
    <t xml:space="preserve">US-N12, US-N13, US-N19, US-N29, US-X05</t>
  </si>
  <si>
    <t xml:space="preserve">US-N08, US-N13, US-N14, US-N15, US-N17, US-N30</t>
  </si>
  <si>
    <t xml:space="preserve">US-N09, US-N31</t>
  </si>
  <si>
    <t xml:space="preserve">US-N04, US-N16, US-N32</t>
  </si>
  <si>
    <t xml:space="preserve">US-N01, US-N02, US-N33</t>
  </si>
  <si>
    <t xml:space="preserve">US-N07, US-N21, US-N34</t>
  </si>
  <si>
    <t xml:space="preserve">NU-NFR-14</t>
  </si>
  <si>
    <t xml:space="preserve">US-N18, US-N35</t>
  </si>
  <si>
    <t xml:space="preserve">NU-NFR-15</t>
  </si>
  <si>
    <t xml:space="preserve">US-D02, US-D26</t>
  </si>
  <si>
    <t xml:space="preserve">US-D02, US-D28</t>
  </si>
  <si>
    <t xml:space="preserve">US-D01, US-D04, US-D30, US-A03</t>
  </si>
  <si>
    <t xml:space="preserve">US-D03, US-D08, US-D19, US-D31, US-A07</t>
  </si>
  <si>
    <t xml:space="preserve">US-D13, US-D32, US-X02, US-X03, US-X04, US-X08</t>
  </si>
  <si>
    <t xml:space="preserve">US-D09, US-D33, US-X08, US-X09</t>
  </si>
  <si>
    <t xml:space="preserve">US-D06, US-D34, US-X09</t>
  </si>
  <si>
    <t xml:space="preserve">US-D05, US-D07, US-D35</t>
  </si>
  <si>
    <t xml:space="preserve">US-D10, US-D17, US-D23, US-D36</t>
  </si>
  <si>
    <t xml:space="preserve">US-D16, US-D18, US-D37</t>
  </si>
  <si>
    <t xml:space="preserve">US-D11, US-D12, US-D38</t>
  </si>
  <si>
    <t xml:space="preserve">US-D22, US-D25, US-D39, US-A14</t>
  </si>
  <si>
    <t xml:space="preserve">US-N11, US-D15, US-D20, US-D21, US-D40</t>
  </si>
  <si>
    <t xml:space="preserve">DM-NFR-16</t>
  </si>
  <si>
    <t xml:space="preserve">US-A05, US-A17</t>
  </si>
  <si>
    <t xml:space="preserve">US-A06, US-A19</t>
  </si>
  <si>
    <t xml:space="preserve">US-A08, US-A20</t>
  </si>
  <si>
    <t xml:space="preserve">US-A10, US-A21</t>
  </si>
  <si>
    <t xml:space="preserve">US-A01, US-A02, US-A04, US-A09, US-A16, US-A22, US-A30</t>
  </si>
  <si>
    <t xml:space="preserve">US-D24, US-A26</t>
  </si>
  <si>
    <t xml:space="preserve">US-A13, US-A29</t>
  </si>
  <si>
    <t xml:space="preserve">AM-NFR-14</t>
  </si>
  <si>
    <t xml:space="preserve">US-A05, US-A16, US-A30</t>
  </si>
  <si>
    <t xml:space="preserve">AM-NFR-15</t>
  </si>
  <si>
    <t xml:space="preserve">AM-NFR-16</t>
  </si>
  <si>
    <t xml:space="preserve">Error case</t>
  </si>
  <si>
    <t xml:space="preserve">US-N01, US-N04, US-N06, US-N18</t>
  </si>
  <si>
    <t xml:space="preserve">US-N02, US-D01, US-A01, US-X10</t>
  </si>
  <si>
    <t xml:space="preserve">EH-03</t>
  </si>
  <si>
    <t xml:space="preserve">US-N16, US-D03, US-D04</t>
  </si>
  <si>
    <t xml:space="preserve">US-D06, US-D07, US-D29, US-D33, US-D34, US-X09</t>
  </si>
  <si>
    <t xml:space="preserve">EH-07</t>
  </si>
  <si>
    <t xml:space="preserve">US-N09, US-N12, US-N13, US-N29</t>
  </si>
  <si>
    <t xml:space="preserve">US-N09, US-N13, US-N29, US-D16, US-A12, US-X05</t>
  </si>
  <si>
    <t xml:space="preserve">US-N13, US-N28, US-A12, US-A23, US-X06</t>
  </si>
  <si>
    <t xml:space="preserve">US-N14, US-N15, US-D17</t>
  </si>
  <si>
    <t xml:space="preserve">US-N03, US-N08, US-N17, US-N26, US-D01, US-D30, US-A02, US-A03, US-A04, US-A22</t>
  </si>
  <si>
    <t xml:space="preserve">US-N12, US-N18, US-N19, US-N25, US-D11, US-D33, US-A28, US-X08</t>
  </si>
  <si>
    <t xml:space="preserve">US-N10, US-D29, US-D33, US-A11, US-A24, US-X07</t>
  </si>
  <si>
    <t xml:space="preserve">EH-14</t>
  </si>
  <si>
    <t xml:space="preserve">US-N15, US-D17</t>
  </si>
  <si>
    <t xml:space="preserve">US-D11, US-D13, US-X03</t>
  </si>
  <si>
    <t xml:space="preserve">US-D13, US-D32, US-X02, US-X04</t>
  </si>
  <si>
    <t xml:space="preserve">US-N21, US-N33, US-D25, US-A13, US-A29</t>
  </si>
  <si>
    <t xml:space="preserve">EH-19</t>
  </si>
  <si>
    <t xml:space="preserve">US-N02, US-N33, US-A13, US-A29</t>
  </si>
  <si>
    <t xml:space="preserve">US-N07, US-N34, US-D22, US-A14</t>
  </si>
  <si>
    <t xml:space="preserve">US-D22, US-D25, US-D39, US-A06, US-A14, US-A19</t>
  </si>
  <si>
    <t xml:space="preserve">US-D15, US-D21, US-D40</t>
  </si>
  <si>
    <t xml:space="preserve">US-D20, US-A05, US-A16, US-A30</t>
  </si>
  <si>
    <t xml:space="preserve">US-N04, US-N05, US-D06, US-D34</t>
  </si>
  <si>
    <t xml:space="preserve">US-N20, US-N36, US-A15, US-A32</t>
  </si>
  <si>
    <t xml:space="preserve">Notes on the SRS-based user stories</t>
  </si>
  <si>
    <t xml:space="preserve">Source: 'Disaster Response Coordination Hub — Final SRS (Revised)', 29 Sep 2026. All IDs below are the SRS IDs.</t>
  </si>
  <si>
    <t xml:space="preserve">Stakeholders in the SRS: three roles only (Normal User, Disaster Management, Application Management). Publisher/Approver, moderator, closer and supervisor are permissions inside Disaster Management, so those stories use that wording, not new roles.</t>
  </si>
  <si>
    <t xml:space="preserve">External agencies, the payment gateway, notification provider, map service, AI service and identity service are integrations, not logins. They are covered in the 'External Parties' section.</t>
  </si>
  <si>
    <t xml:space="preserve">Requirements marked (Optional) in the SRS are marked (Optional) here too: NU-FR-13/14/15, DM-FR-19/20, AM-FR-13/14, NU-NFR-14/15, DM-NFR-16, AM-NFR-15/16 and EH-26.</t>
  </si>
  <si>
    <t xml:space="preserve">Every FR (49), NFR (47) and error case (26) appears in at least one story; see the Coverage section. A sixth column 'Related Error Case(s)' was added to the reference layout.</t>
  </si>
  <si>
    <t xml:space="preserve">Numeric targets are not invented, as in the SRS ('proposed target until approved by [named approver]').</t>
  </si>
  <si>
    <t xml:space="preserve">Review pass (11 Oct 2026): stories were checked against the Final SRS (Revised). Cells changed in this pass are filled red; see the Change Log, Conflict Register, FR/NFR Traceability and Summary sheets. Open issues remain; full compliance is not claimed.</t>
  </si>
  <si>
    <t xml:space="preserve">Final review pass (11 Oct 2026): SRS Section 13 (scenarios) and Section 15 (routes) were checked against all stories; corrections and the resolution of earlier open issues are listed in the Change Log and Conflict Register. Open items at that pass were later restated: see Notes 9 to 11, the Summary and the Conflict Register for current counts (four business decisions, CR-25 to CR-28; open or partly open items CR-22 to CR-28 and CR-46 to CR-50). None is marked resolved.</t>
  </si>
  <si>
    <t xml:space="preserve">Verification pass v2 (11 Oct 2026): CR-22, CR-23 and CR-25 to CR-28 and CR-46 to CR-48 were re-checked against the SRS. CR-22 and CR-23 are interpretations that need SRS-owner confirmation and are no longer counted as resolved. Two further SRS-level items were recorded (CR-49, CR-50). Mandatory decisions remain open; full compliance is not claimed.</t>
  </si>
  <si>
    <t xml:space="preserve">Verification pass v3 (11 Oct 2026): NFR/FR cross-references, specifications 7.1–7.11, Section 12 and the registers were re-checked. Two story errors were fixed (CR-51, CR-52) and the issue counts were reconciled by status bucket (see Summary). Business decisions and SRS corrections remain open; full compliance is not claimed.</t>
  </si>
  <si>
    <t xml:space="preserve">Verification pass v4 (11 Oct 2026): story text checked against the sprint plan. Permission names aligned (CR-53), US-D37 wording clarified (CR-54), stale counts in Notes 8 and Summary V10 corrected (CR-55), and the count of Optional stories (12, including US-N21) recorded (CR-56). Business decisions and SRS corrections remain open; full compliance is not claimed.</t>
  </si>
  <si>
    <t xml:space="preserve">Epic pass (v5): all 119 stories are grouped into 16 epics (sheet Epics) and each story carries an Epic and a Sprint column. Cross-epic conflicts are CR-57 to CR-68; ten are resolved by staged delivery or design rules and two stay open (CR-66 permission model, CR-68 backup retention).</t>
  </si>
  <si>
    <t xml:space="preserve">Change Log</t>
  </si>
  <si>
    <t xml:space="preserve">Change ID</t>
  </si>
  <si>
    <t xml:space="preserve">Sheet</t>
  </si>
  <si>
    <t xml:space="preserve">Story / Req ID</t>
  </si>
  <si>
    <t xml:space="preserve">Cell</t>
  </si>
  <si>
    <t xml:space="preserve">Field</t>
  </si>
  <si>
    <t xml:space="preserve">Original value</t>
  </si>
  <si>
    <t xml:space="preserve">Corrected value</t>
  </si>
  <si>
    <t xml:space="preserve">Reason</t>
  </si>
  <si>
    <t xml:space="preserve">Source reference</t>
  </si>
  <si>
    <t xml:space="preserve">Conflict ID</t>
  </si>
  <si>
    <t xml:space="preserve">CL-01</t>
  </si>
  <si>
    <t xml:space="preserve">B17</t>
  </si>
  <si>
    <t xml:space="preserve">As a Normal User, I want to see each stage of my aid contribution (Registered, Verified, Allocated, In Transit, Delivered or Failed) separately, so that I can follow it to delivery.</t>
  </si>
  <si>
    <t xml:space="preserve">Stage list omitted the Pending Verification and Rejected outcomes that the SRS defines for physical aid; aligned terminology so each stage can be shown separately.</t>
  </si>
  <si>
    <t xml:space="preserve">SRS 7.4 Internal processing and Flow; NU-FR-10; EH-10</t>
  </si>
  <si>
    <t xml:space="preserve">CR-01</t>
  </si>
  <si>
    <t xml:space="preserve">CL-02</t>
  </si>
  <si>
    <t xml:space="preserve">C18</t>
  </si>
  <si>
    <t xml:space="preserve">• I can add text, evidence or a corrected location.
• The response is stored with my identity and time.
• The incident returns to the review queue; I cannot answer for another user or a closed incident.</t>
  </si>
  <si>
    <t xml:space="preserve">Added the NU-FR-11 precondition (Needs Information state) and the expired-window failure condition that the criteria did not state.</t>
  </si>
  <si>
    <t xml:space="preserve">NU-FR-11 Description and Failure; EH-05</t>
  </si>
  <si>
    <t xml:space="preserve">CR-02</t>
  </si>
  <si>
    <t xml:space="preserve">CL-03</t>
  </si>
  <si>
    <t xml:space="preserve">D21</t>
  </si>
  <si>
    <t xml:space="preserve">NU-FR-13 (Optional), NU-FR-03</t>
  </si>
  <si>
    <t xml:space="preserve">Story is core (retry safety is required by EH-12 and NU-NFR-08) but listed the Optional NU-FR-13 first. Core FR now leads and the Optional dependency is marked; the dependency itself is logged as an open issue.</t>
  </si>
  <si>
    <t xml:space="preserve">NU-FR-03; NU-FR-13 (Optional); EH-12; NU-NFR-08; SRS s.14 open decision 2</t>
  </si>
  <si>
    <t xml:space="preserve">CR-03</t>
  </si>
  <si>
    <t xml:space="preserve">CL-04</t>
  </si>
  <si>
    <t xml:space="preserve">C26</t>
  </si>
  <si>
    <t xml:space="preserve">• Common actions respond within the approved target.
• Targets are set after workload analysis.</t>
  </si>
  <si>
    <t xml:space="preserve">Criterion said targets are "set"; the SRS says every measurable target is only proposed until a named approver approves it.</t>
  </si>
  <si>
    <t xml:space="preserve">NU-NFR-03; SRS s.2 Assumptions; s.8 preamble</t>
  </si>
  <si>
    <t xml:space="preserve">CR-04</t>
  </si>
  <si>
    <t xml:space="preserve">CL-05</t>
  </si>
  <si>
    <t xml:space="preserve">C35</t>
  </si>
  <si>
    <t xml:space="preserve">• Abuse controls contain bots without blocking genuine reports.
• False-positive tests pass.</t>
  </si>
  <si>
    <t xml:space="preserve">Added the user-facing behaviour required when a rate limit is hit; no story stated the emergency-alternative pointer.</t>
  </si>
  <si>
    <t xml:space="preserve">AM-FR-11 Application reaction; SRS 7.10; EH-18</t>
  </si>
  <si>
    <t xml:space="preserve">CR-05</t>
  </si>
  <si>
    <t xml:space="preserve">CL-06</t>
  </si>
  <si>
    <t xml:space="preserve">C38</t>
  </si>
  <si>
    <t xml:space="preserve">• Requests complete within retention limits.
• Retention workflow tests pass.</t>
  </si>
  <si>
    <t xml:space="preserve">• Requests are resolved within retention limits: completed, or refused with a recorded reason.
• A deletion that did not happen is never reported as done.</t>
  </si>
  <si>
    <t xml:space="preserve">"Requests complete within retention limits" conflicts with the SRS, where a request may be refused for retention or legal reasons and failures must be reported honestly.</t>
  </si>
  <si>
    <t xml:space="preserve">AM-FR-13 Internal processing; EH-26; SRS 7.11; NU-FR-14</t>
  </si>
  <si>
    <t xml:space="preserve">CR-06</t>
  </si>
  <si>
    <t xml:space="preserve">CL-07</t>
  </si>
  <si>
    <t xml:space="preserve">C13</t>
  </si>
  <si>
    <t xml:space="preserve">• Prerequisites are checked before creation.
• States Requested, Acknowledged, Dispatched, Rejected or Escalated are shown.
• A false success is never displayed.</t>
  </si>
  <si>
    <t xml:space="preserve">• Prerequisites are checked before creation.
• States Requested, Acknowledged, Dispatched, Rejected or Escalated are shown.
• A false success is never displayed.
• Dispatch completion is set only by a Disaster Management operator or a trusted integration, never inferred.</t>
  </si>
  <si>
    <t xml:space="preserve">Added the SRS rule that dispatch completion is never inferred; the criteria covered only creation and state display.</t>
  </si>
  <si>
    <t xml:space="preserve">SRS 7.5 Completion; DM-FR-09</t>
  </si>
  <si>
    <t xml:space="preserve">CR-07</t>
  </si>
  <si>
    <t xml:space="preserve">CL-08</t>
  </si>
  <si>
    <t xml:space="preserve">C21</t>
  </si>
  <si>
    <t xml:space="preserve">• Closure is refused while dispatches or allocations are open unless I give an explicit override rationale.
• Edits are frozen but the record stays readable.
• The reason and time are shown to staff and to the reporter.</t>
  </si>
  <si>
    <t xml:space="preserve">• Closure is refused while dispatches or allocations are open unless I give an explicit override rationale.
• Edits are frozen but the record stays readable.
• The reason and time are shown to staff and to the reporter.
• Reopening a closed incident requires the same closure permission and is itself audited.</t>
  </si>
  <si>
    <t xml:space="preserve">Reopening rule from the incident-closure specification had no criterion in any story.</t>
  </si>
  <si>
    <t xml:space="preserve">SRS 7.8 Application response; DM-FR-15</t>
  </si>
  <si>
    <t xml:space="preserve">CR-08</t>
  </si>
  <si>
    <t xml:space="preserve">CL-09</t>
  </si>
  <si>
    <t xml:space="preserve">C24</t>
  </si>
  <si>
    <t xml:space="preserve">• Decision, actor, time and reason are recorded.
• Quarantined content shows a placeholder to staff only.
• Pending items are never auto-approved when the backlog grows.</t>
  </si>
  <si>
    <t xml:space="preserve">• Decision, actor, time and reason are recorded.
• Quarantined content shows a placeholder to staff only.
• Pending items are never auto-approved when the backlog grows.
• If the scanner is unavailable, items stay Pending and are never treated as Approved.</t>
  </si>
  <si>
    <t xml:space="preserve">Scanner-outage behaviour in the moderation specification was not captured.</t>
  </si>
  <si>
    <t xml:space="preserve">SRS 7.7 Failure; AM-FR-12 Failure; EH-21</t>
  </si>
  <si>
    <t xml:space="preserve">CR-09</t>
  </si>
  <si>
    <t xml:space="preserve">CL-10</t>
  </si>
  <si>
    <t xml:space="preserve">D27</t>
  </si>
  <si>
    <t xml:space="preserve">DM-FR-18, NU-FR-15 (Optional)</t>
  </si>
  <si>
    <t xml:space="preserve">Story triages rate-limited submissions and the moderation backlog, so AM-FR-11 and AM-FR-12 are source requirements; they were missing.</t>
  </si>
  <si>
    <t xml:space="preserve">DM-NFR-14 (cross-refs DM-FR-18, AM-FR-11, AM-FR-12); EH-18; EH-21</t>
  </si>
  <si>
    <t xml:space="preserve">CR-10</t>
  </si>
  <si>
    <t xml:space="preserve">CL-11</t>
  </si>
  <si>
    <t xml:space="preserve">Application Management</t>
  </si>
  <si>
    <t xml:space="preserve">D19</t>
  </si>
  <si>
    <t xml:space="preserve">Criterion lists abuse thresholds and moderation policy as configuration, which are governed by AM-FR-11 and AM-FR-12, not AM-FR-03 alone.</t>
  </si>
  <si>
    <t xml:space="preserve">AM-NFR-01 Explanation; AM-FR-11; AM-FR-12</t>
  </si>
  <si>
    <t xml:space="preserve">CR-11</t>
  </si>
  <si>
    <t xml:space="preserve">CL-12</t>
  </si>
  <si>
    <t xml:space="preserve">D33</t>
  </si>
  <si>
    <t xml:space="preserve">AM-FR-05 is Logging and Audit; the SRS does not link the traceability requirement to it, so the link was unsupported. Marked NFR-only rather than guessing another FR.</t>
  </si>
  <si>
    <t xml:space="preserve">AM-NFR-15 (Optional); AM-FR-05; SRS s.14 Implementation note</t>
  </si>
  <si>
    <t xml:space="preserve">CR-12</t>
  </si>
  <si>
    <t xml:space="preserve">CL-13</t>
  </si>
  <si>
    <t xml:space="preserve">E18</t>
  </si>
  <si>
    <t xml:space="preserve">AM-NFR-06 is the NFR that requires a second approver for critical changes (AM-FR-14); it was not referenced.</t>
  </si>
  <si>
    <t xml:space="preserve">AM-NFR-06 Explanation; AM-FR-14</t>
  </si>
  <si>
    <t xml:space="preserve">CR-13</t>
  </si>
  <si>
    <t xml:space="preserve">CL-14</t>
  </si>
  <si>
    <t xml:space="preserve">External Parties</t>
  </si>
  <si>
    <t xml:space="preserve">C6</t>
  </si>
  <si>
    <t xml:space="preserve">• Both events are kept in history.
• The conflict is flagged for staff.</t>
  </si>
  <si>
    <t xml:space="preserve">Story wording implied the agency sends the acknowledgement directly; the SRS states agencies hold no accounts and responses re-enter through staff entry or a trusted integration.</t>
  </si>
  <si>
    <t xml:space="preserve">SRS s.1; s.2 Assumptions; DM-FR-10; EH-17</t>
  </si>
  <si>
    <t xml:space="preserve">CR-14</t>
  </si>
  <si>
    <t xml:space="preserve">CL-15</t>
  </si>
  <si>
    <t xml:space="preserve">Coverage</t>
  </si>
  <si>
    <t xml:space="preserve">D42</t>
  </si>
  <si>
    <t xml:space="preserve">US-A07, US-A25, US-A31</t>
  </si>
  <si>
    <t xml:space="preserve">Removed US-A31 to match the corrected story source column.</t>
  </si>
  <si>
    <t xml:space="preserve">US-A31 corrected (CR-12)</t>
  </si>
  <si>
    <t xml:space="preserve">CL-16</t>
  </si>
  <si>
    <t xml:space="preserve">D48</t>
  </si>
  <si>
    <t xml:space="preserve">US-N01, US-N02, US-N33, US-D39, US-A13, US-A29</t>
  </si>
  <si>
    <t xml:space="preserve">Added US-D25 and US-A17 to match corrected story sources.</t>
  </si>
  <si>
    <t xml:space="preserve">US-D25, US-A17 corrected (CR-10, CR-11)</t>
  </si>
  <si>
    <t xml:space="preserve">CL-17</t>
  </si>
  <si>
    <t xml:space="preserve">D49</t>
  </si>
  <si>
    <t xml:space="preserve">US-D39, US-A14</t>
  </si>
  <si>
    <t xml:space="preserve">CL-18</t>
  </si>
  <si>
    <t xml:space="preserve">D88</t>
  </si>
  <si>
    <t xml:space="preserve">US-A01, US-A02, US-A04, US-A09, US-A22</t>
  </si>
  <si>
    <t xml:space="preserve">US-A01, US-A02, US-A04, US-A09, US-A16, US-A22</t>
  </si>
  <si>
    <t xml:space="preserve">Added US-A16 to match corrected story NFR column.</t>
  </si>
  <si>
    <t xml:space="preserve">US-A16 corrected (CR-13)</t>
  </si>
  <si>
    <t xml:space="preserve">CL-19</t>
  </si>
  <si>
    <t xml:space="preserve">Notes</t>
  </si>
  <si>
    <t xml:space="preserve">Note 7</t>
  </si>
  <si>
    <t xml:space="preserve">A9:B9</t>
  </si>
  <si>
    <t xml:space="preserve">New note</t>
  </si>
  <si>
    <t xml:space="preserve">(none)</t>
  </si>
  <si>
    <t xml:space="preserve">Records that a review pass was made and where the results are.</t>
  </si>
  <si>
    <t xml:space="preserve">Review deliverable</t>
  </si>
  <si>
    <t xml:space="preserve">CL-20</t>
  </si>
  <si>
    <t xml:space="preserve">C3</t>
  </si>
  <si>
    <t xml:space="preserve">• Public sign-up creates a Normal User account only.
• Duplicate or invalid registration is rejected with a clear message.
• The dashboard is shown only after authentication.</t>
  </si>
  <si>
    <t xml:space="preserve">NU-FR-01 lists consent as an input; no criterion captured it.</t>
  </si>
  <si>
    <t xml:space="preserve">NU-FR-01 Input; SRS 7.6</t>
  </si>
  <si>
    <t xml:space="preserve">CR-29</t>
  </si>
  <si>
    <t xml:space="preserve">CL-21</t>
  </si>
  <si>
    <t xml:space="preserve">C4</t>
  </si>
  <si>
    <t xml:space="preserve">• Valid credentials create a secure session.
• Failed login shows a generic message that does not reveal whether the account exists.
• Repeated failures trigger the configured rate limit or lockout.</t>
  </si>
  <si>
    <t xml:space="preserve">Route POST /auth/password-reset (generic response either way) had no story or criterion.</t>
  </si>
  <si>
    <t xml:space="preserve">SRS 15.3 /api/v1/auth/password-reset (NU-FR-01); EH-02</t>
  </si>
  <si>
    <t xml:space="preserve">CR-30</t>
  </si>
  <si>
    <t xml:space="preserve">CL-22</t>
  </si>
  <si>
    <t xml:space="preserve">C9</t>
  </si>
  <si>
    <t xml:space="preserve">• Only allowed types and sizes are accepted.
• Each file shows its own state such as Pending Moderation.
• Unsafe or corrupt files are rejected and unchecked content is never displayed.</t>
  </si>
  <si>
    <t xml:space="preserve">Route DELETE /incidents/:id/evidence/:evidenceId (own evidence, before verification) had no criterion.</t>
  </si>
  <si>
    <t xml:space="preserve">SRS 15.3 evidence routes (NU-FR-05)</t>
  </si>
  <si>
    <t xml:space="preserve">CR-31</t>
  </si>
  <si>
    <t xml:space="preserve">CL-23</t>
  </si>
  <si>
    <t xml:space="preserve">C10</t>
  </si>
  <si>
    <t xml:space="preserve">• Only my own reports are shown.
• The timeline shows each state change.
• The closure reason is shown once the incident is closed.</t>
  </si>
  <si>
    <t xml:space="preserve">Ownership rule: mismatch returns 404, not 403.</t>
  </si>
  <si>
    <t xml:space="preserve">SRS 15.1 Ownership; 15.7 (404)</t>
  </si>
  <si>
    <t xml:space="preserve">CR-32</t>
  </si>
  <si>
    <t xml:space="preserve">CL-24</t>
  </si>
  <si>
    <t xml:space="preserve">C15</t>
  </si>
  <si>
    <t xml:space="preserve">• Success is shown only after gateway confirmation.
• A timeout keeps the donation Pending and prevents duplicate charging.
• A receipt is issued only after confirmation.</t>
  </si>
  <si>
    <t xml:space="preserve">Scenario 13.3 requires gateway confirmation plus callback and reference validation before Confirmed.</t>
  </si>
  <si>
    <t xml:space="preserve">SRS 13.3; NU-FR-09</t>
  </si>
  <si>
    <t xml:space="preserve">CR-34</t>
  </si>
  <si>
    <t xml:space="preserve">CL-25</t>
  </si>
  <si>
    <t xml:space="preserve">C16</t>
  </si>
  <si>
    <t xml:space="preserve">• Aid can be registered independently of incident reporting.
• Invalid or unavailable aid gets a non-success state with a next action.
• No delivery success is shown without confirmation.</t>
  </si>
  <si>
    <t xml:space="preserve">Idempotency-Key is required on POST /aid-contributions; only incidents and donations had a retry criterion.</t>
  </si>
  <si>
    <t xml:space="preserve">SRS 15.1 Idempotency; EH-12</t>
  </si>
  <si>
    <t xml:space="preserve">CR-33</t>
  </si>
  <si>
    <t xml:space="preserve">CL-26</t>
  </si>
  <si>
    <t xml:space="preserve">• Retrying uses an idempotency key.
• Submitting twice creates one incident only.
• A duplicate submission is blocked with a clear message.</t>
  </si>
  <si>
    <t xml:space="preserve">Scenario 13.6 requires idempotency plus status checking on retry; the idempotency rule is a core route rule (s.15.1), so this core story no longer depends on Optional NU-FR-13 for retry safety.</t>
  </si>
  <si>
    <t xml:space="preserve">SRS 13.6; 15.1 Idempotency; EH-12; NU-NFR-08</t>
  </si>
  <si>
    <t xml:space="preserve">CR-03; CR-35</t>
  </si>
  <si>
    <t xml:space="preserve">CL-27</t>
  </si>
  <si>
    <t xml:space="preserve">• Filters narrow the data.
• Overdue dispatches are surfaced.
• Status and last-updated time are shown.</t>
  </si>
  <si>
    <t xml:space="preserve">Dispatch queue route includes overdue and escalated dispatches.</t>
  </si>
  <si>
    <t xml:space="preserve">SRS 15.4 GET /dm/dispatches</t>
  </si>
  <si>
    <t xml:space="preserve">CR-38</t>
  </si>
  <si>
    <t xml:space="preserve">CL-28</t>
  </si>
  <si>
    <t xml:space="preserve">• The incident moves to Needs Information.
• The report is not dispatched while unverified.
• The reporter response returns it to the review queue.</t>
  </si>
  <si>
    <t xml:space="preserve">Scenario 13.7: staff set Needs Information with a specific question.</t>
  </si>
  <si>
    <t xml:space="preserve">SRS 13.7; DM-FR-03</t>
  </si>
  <si>
    <t xml:space="preserve">CR-36</t>
  </si>
  <si>
    <t xml:space="preserve">CL-29</t>
  </si>
  <si>
    <t xml:space="preserve">C12</t>
  </si>
  <si>
    <t xml:space="preserve">• Availability is checked before assignment.
• Conflicting or stale assignments are blocked.
• Availability and conflicts are visible.</t>
  </si>
  <si>
    <t xml:space="preserve">Route DELETE /dm/resources/:id/reservations/:reservationId had no criterion.</t>
  </si>
  <si>
    <t xml:space="preserve">SRS 15.4 reservations routes (DM-FR-08)</t>
  </si>
  <si>
    <t xml:space="preserve">CR-37</t>
  </si>
  <si>
    <t xml:space="preserve">CL-30</t>
  </si>
  <si>
    <t xml:space="preserve">Reconciled Escalated (EH-15 marker on a still-unacknowledged dispatch) and added Completed and Failed from the 7.5 flow and s.15 completion route; added Requested/Waiting wording (13.1) and failure handling (13.5).</t>
  </si>
  <si>
    <t xml:space="preserve">SRS DM-FR-09; 7.5 Flow, State definitions, Completion; EH-15, EH-16; 13.1; 13.5; 15.4 /dispatches/:id/completion</t>
  </si>
  <si>
    <t xml:space="preserve">CR-22; CR-24; CR-38</t>
  </si>
  <si>
    <t xml:space="preserve">CL-31</t>
  </si>
  <si>
    <t xml:space="preserve">F13</t>
  </si>
  <si>
    <t xml:space="preserve">Story now shows Escalated and Rejected states, which EH-15 and EH-16 govern.</t>
  </si>
  <si>
    <t xml:space="preserve">EH-15; EH-16</t>
  </si>
  <si>
    <t xml:space="preserve">CR-22</t>
  </si>
  <si>
    <t xml:space="preserve">CL-32</t>
  </si>
  <si>
    <t xml:space="preserve">C14</t>
  </si>
  <si>
    <t xml:space="preserve">• The dispatch stays Requested and is marked Escalated.
• I can resend, reassign or escalate.
• The timeout comes from configuration.</t>
  </si>
  <si>
    <t xml:space="preserve">Makes the EH-15 wording consistent with the Escalated state in DM-FR-09.</t>
  </si>
  <si>
    <t xml:space="preserve">EH-15; DM-FR-09; 13.8; 15.4 /dispatches/:id/escalation</t>
  </si>
  <si>
    <t xml:space="preserve">CL-33</t>
  </si>
  <si>
    <t xml:space="preserve">• The recorder and timestamp are stored.
• A rejection shows its reason and never a dispatch success.
• A late or conflicting acknowledgement keeps both events and flags the conflict.</t>
  </si>
  <si>
    <t xml:space="preserve">Core scenario 13.6 requires manual recording during integration outage; only Optional US-D41 mentioned manual fallback.</t>
  </si>
  <si>
    <t xml:space="preserve">SRS 13.6; 7.5 Success; DM-FR-10</t>
  </si>
  <si>
    <t xml:space="preserve">CR-39</t>
  </si>
  <si>
    <t xml:space="preserve">CL-34</t>
  </si>
  <si>
    <t xml:space="preserve">C17</t>
  </si>
  <si>
    <t xml:space="preserve">• Updates are versioned and timestamped.
• Staff without Publisher/Approver permission cannot publish.
• Notification failure does not block the update.</t>
  </si>
  <si>
    <t xml:space="preserve">Public routes /updates and GET /public-updates show verified updates; no criterion covered public visibility.</t>
  </si>
  <si>
    <t xml:space="preserve">SRS 15.2 /updates; 15.3 /public-updates; DM-FR-11</t>
  </si>
  <si>
    <t xml:space="preserve">CR-40</t>
  </si>
  <si>
    <t xml:space="preserve">CL-35</t>
  </si>
  <si>
    <t xml:space="preserve">C19</t>
  </si>
  <si>
    <t xml:space="preserve">• Compatibility and quantity are checked.
• Allocated, In Transit, Delivered or Failed states are tracked.
• A failed delivery can be rescheduled or reallocated.</t>
  </si>
  <si>
    <t xml:space="preserve">Aid verification route and the Delivered rule (13.4) were missing; need source clarified per DM-FR-13 fallback.</t>
  </si>
  <si>
    <t xml:space="preserve">SRS 13.4; 7.4; DM-FR-13 Description; 15.4 /aid-contributions/:id/verification; Section 14 open decision 1</t>
  </si>
  <si>
    <t xml:space="preserve">CR-26; CR-41</t>
  </si>
  <si>
    <t xml:space="preserve">CL-36</t>
  </si>
  <si>
    <t xml:space="preserve">C23</t>
  </si>
  <si>
    <t xml:space="preserve">• Draft goes through review and approval before publish.
• Every version is kept and attributable.
• An unapproved draft is never served.</t>
  </si>
  <si>
    <t xml:space="preserve">Scenario 13.13 rule had no criterion.</t>
  </si>
  <si>
    <t xml:space="preserve">SRS 13.13; DM-FR-17; 7.9</t>
  </si>
  <si>
    <t xml:space="preserve">CR-42</t>
  </si>
  <si>
    <t xml:space="preserve">CL-37</t>
  </si>
  <si>
    <t xml:space="preserve">EH-20 alert and scenario 13.12 outcome were not captured.</t>
  </si>
  <si>
    <t xml:space="preserve">EH-20; SRS 13.12; DM-FR-18</t>
  </si>
  <si>
    <t xml:space="preserve">CR-29; CR-43</t>
  </si>
  <si>
    <t xml:space="preserve">CL-38</t>
  </si>
  <si>
    <t xml:space="preserve">C27</t>
  </si>
  <si>
    <t xml:space="preserve">• Flagged items appear in a queue.
• A backlog beyond threshold raises an alert.
• Genuine reports are never silently discarded.</t>
  </si>
  <si>
    <t xml:space="preserve">Scenario 13.9 requires duplicates to be surfaced for review rather than deleted.</t>
  </si>
  <si>
    <t xml:space="preserve">SRS 13.9; EH-04; EH-18</t>
  </si>
  <si>
    <t xml:space="preserve">CR-44</t>
  </si>
  <si>
    <t xml:space="preserve">CL-39</t>
  </si>
  <si>
    <t xml:space="preserve">C32</t>
  </si>
  <si>
    <t xml:space="preserve">• Only three roles exist; moderation, closure, publishing and supervision are permissions.
• Self-escalation is impossible; RBAC and penetration tests pass.</t>
  </si>
  <si>
    <t xml:space="preserve">• Only three roles exist; moderation, closure, publishing and supervision are permissions.
• Self-escalation is impossible; RBAC and penetration tests pass.
• A page requested without the matching role redirects to login if I am not signed in, or shows an access-denied page if I am.</t>
  </si>
  <si>
    <t xml:space="preserve">Page-route access rule had no criterion.</t>
  </si>
  <si>
    <t xml:space="preserve">SRS 15.2 closing rule; 15.1 Authorisation</t>
  </si>
  <si>
    <t xml:space="preserve">CR-45</t>
  </si>
  <si>
    <t xml:space="preserve">CL-40</t>
  </si>
  <si>
    <t xml:space="preserve">C40</t>
  </si>
  <si>
    <t xml:space="preserve">• Escalation notifies a supervisor-permission holder.
• Timeout, escalation and notification tests pass.</t>
  </si>
  <si>
    <t xml:space="preserve">De-duplication by cross-reference; IDs preserved.</t>
  </si>
  <si>
    <t xml:space="preserve">SRS DM-NFR-13; EH-15</t>
  </si>
  <si>
    <t xml:space="preserve">CR-15</t>
  </si>
  <si>
    <t xml:space="preserve">CL-41</t>
  </si>
  <si>
    <t xml:space="preserve">C42</t>
  </si>
  <si>
    <t xml:space="preserve">• Every published item records author and approver.
• Publishing-permission and version-integrity tests pass.</t>
  </si>
  <si>
    <t xml:space="preserve">SRS DM-NFR-15</t>
  </si>
  <si>
    <t xml:space="preserve">CR-21</t>
  </si>
  <si>
    <t xml:space="preserve">CL-42</t>
  </si>
  <si>
    <t xml:space="preserve">C31</t>
  </si>
  <si>
    <t xml:space="preserve">• Duplicate attempts do not create duplicate charges.
• Fault-injection and reconciliation tests pass.</t>
  </si>
  <si>
    <t xml:space="preserve">SRS NU-NFR-08</t>
  </si>
  <si>
    <t xml:space="preserve">CR-18</t>
  </si>
  <si>
    <t xml:space="preserve">CL-43</t>
  </si>
  <si>
    <t xml:space="preserve">C37</t>
  </si>
  <si>
    <t xml:space="preserve">• Draft state label is visible.
• Browser-storage and retry tests pass.</t>
  </si>
  <si>
    <t xml:space="preserve">SRS NU-FR-13 (Optional); NU-NFR-14 (Optional)</t>
  </si>
  <si>
    <t xml:space="preserve">CR-16</t>
  </si>
  <si>
    <t xml:space="preserve">CL-44</t>
  </si>
  <si>
    <t xml:space="preserve">SRS NU-FR-14 (Optional); NU-NFR-15 (Optional)</t>
  </si>
  <si>
    <t xml:space="preserve">CR-17</t>
  </si>
  <si>
    <t xml:space="preserve">CL-45</t>
  </si>
  <si>
    <t xml:space="preserve">• In-app status is the fallback source of truth.
• Provider-outage and duplicate-prevention tests pass.</t>
  </si>
  <si>
    <t xml:space="preserve">SRS AM-NFR-08</t>
  </si>
  <si>
    <t xml:space="preserve">CR-19</t>
  </si>
  <si>
    <t xml:space="preserve">CL-46</t>
  </si>
  <si>
    <t xml:space="preserve">C25</t>
  </si>
  <si>
    <t xml:space="preserve">• Outage, callback and reconciliation simulations pass.</t>
  </si>
  <si>
    <t xml:space="preserve">SRS AM-NFR-07</t>
  </si>
  <si>
    <t xml:space="preserve">CR-20</t>
  </si>
  <si>
    <t xml:space="preserve">CL-47</t>
  </si>
  <si>
    <t xml:space="preserve">• Limits apply to sign-up, login, reporting, uploads, flags and donations.
• Every action is logged.
• Legitimate reports are never silently discarded and thresholds are not revealed.</t>
  </si>
  <si>
    <t xml:space="preserve">• Limits apply to sign-up, login, reporting, uploads, flags and donations.
• Every action is logged.
• Legitimate reports are never silently discarded and thresholds are not revealed.
• A source that keeps exceeding limits is throttled and then blocked, Application Management is alerted, and other users' reports continue to be accepted.
• A block can be lifted after review.</t>
  </si>
  <si>
    <t xml:space="preserve">Scenario 13.9 escalation and the unblock route were not captured.</t>
  </si>
  <si>
    <t xml:space="preserve">SRS 13.9; EH-19 Recovery; 15.5 /admin/abuse/blocks</t>
  </si>
  <si>
    <t xml:space="preserve">CL-48</t>
  </si>
  <si>
    <t xml:space="preserve">• Changes stay pending until a different admin approves.
• Self-approval is refused.
• Both actors are audited.</t>
  </si>
  <si>
    <t xml:space="preserve">AM-FR-14 failure conditions had no criterion.</t>
  </si>
  <si>
    <t xml:space="preserve">SRS AM-FR-14 Internal processing and Failure</t>
  </si>
  <si>
    <t xml:space="preserve">CL-49</t>
  </si>
  <si>
    <t xml:space="preserve">B32</t>
  </si>
  <si>
    <t xml:space="preserve">As an Application Management administrator, I want to have scenario, role, timeout and moderation settings versioned, attributable and reversible, so that configuration changes can be audited and rolled back.</t>
  </si>
  <si>
    <t xml:space="preserve">AM-NFR-14 "role settings" reconciled with the fixed three-role model: the assignment of an account to one of the three roles and its permissions is versioned and reversible; the role list is not.</t>
  </si>
  <si>
    <t xml:space="preserve">AM-NFR-14; AM-NFR-06; AM-FR-02; 15.5 PUT /admin/users/:id/role</t>
  </si>
  <si>
    <t xml:space="preserve">CR-23</t>
  </si>
  <si>
    <t xml:space="preserve">CL-50</t>
  </si>
  <si>
    <t xml:space="preserve">• Configuration audit, rollback and approval tests pass.</t>
  </si>
  <si>
    <t xml:space="preserve">Documents the interpretation of AM-NFR-14 against AM-NFR-06 and EH-24.</t>
  </si>
  <si>
    <t xml:space="preserve">AM-NFR-14; AM-NFR-06; AM-FR-02; EH-24</t>
  </si>
  <si>
    <t xml:space="preserve">CL-51</t>
  </si>
  <si>
    <t xml:space="preserve">D32</t>
  </si>
  <si>
    <t xml:space="preserve">AM-FR-03, AM-FR-14 (Optional)</t>
  </si>
  <si>
    <t xml:space="preserve">Role and permission assignment is governed by AM-FR-02.</t>
  </si>
  <si>
    <t xml:space="preserve">AM-FR-02; AM-NFR-14</t>
  </si>
  <si>
    <t xml:space="preserve">CL-52</t>
  </si>
  <si>
    <t xml:space="preserve">E32</t>
  </si>
  <si>
    <t xml:space="preserve">Fixed role list is required by AM-NFR-06.</t>
  </si>
  <si>
    <t xml:space="preserve">CL-53</t>
  </si>
  <si>
    <t xml:space="preserve">D39</t>
  </si>
  <si>
    <t xml:space="preserve">US-D30, US-A02, US-A03, US-A04</t>
  </si>
  <si>
    <t xml:space="preserve">Aligned to the corrected story source/NFR/error columns.</t>
  </si>
  <si>
    <t xml:space="preserve">Story columns after this pass</t>
  </si>
  <si>
    <t xml:space="preserve">CL-54</t>
  </si>
  <si>
    <t xml:space="preserve">CL-55</t>
  </si>
  <si>
    <t xml:space="preserve">D113</t>
  </si>
  <si>
    <t xml:space="preserve">US-D12, US-D38</t>
  </si>
  <si>
    <t xml:space="preserve">CL-56</t>
  </si>
  <si>
    <t xml:space="preserve">D114</t>
  </si>
  <si>
    <t xml:space="preserve">US-D13, US-X03</t>
  </si>
  <si>
    <t xml:space="preserve">CL-57</t>
  </si>
  <si>
    <t xml:space="preserve">Note 8</t>
  </si>
  <si>
    <t xml:space="preserve">A10:B10</t>
  </si>
  <si>
    <t xml:space="preserve">Final review pass (11 Oct 2026): SRS Section 13 (scenarios) and Section 15 (routes) were checked against all stories; corrections and the resolution of earlier open issues are listed in the Change Log and Conflict Register. Three open business decisions (approver, DM-FR-19, optional sets) and three SRS-level inconsistencies remain; they are not marked resolved.</t>
  </si>
  <si>
    <t xml:space="preserve">Records the final review pass.</t>
  </si>
  <si>
    <t xml:space="preserve">CL-58</t>
  </si>
  <si>
    <t xml:space="preserve">Conflict Register</t>
  </si>
  <si>
    <t xml:space="preserve">D24</t>
  </si>
  <si>
    <t xml:space="preserve">Issue</t>
  </si>
  <si>
    <t xml:space="preserve">EH-15 says "Keep Requested; mark Escalated" while DM-FR-09 lists Escalated as a dispatch state. US-D12 mirrors EH-15 and was not altered.</t>
  </si>
  <si>
    <t xml:space="preserve">EH-15 says "Keep Requested; mark Escalated" while DM-FR-09 lists Escalated as a dispatch state. US-D12 mirrors EH-15 and was not altered. Re-verified: the SRS never states the reading; DM-FR-09 lists Escalated as a displayed state, EH-15 (s.11) says "Keep Requested; mark Escalated", 7.5 Flow lists "Rejected / Escalated / Failed", s.15.4 has POST /dm/dispatches/:id/escalation and a queue "including overdue and escalated"; the state-machine section (Section 16) is "not part of this baseline" (s.3, p.5) and s.14 tells the team to define the dispatch state machine.</t>
  </si>
  <si>
    <t xml:space="preserve">Earlier status "Resolved" overstated: the SRS gives no definitive state machine, so the reading needs owner confirmation.</t>
  </si>
  <si>
    <t xml:space="preserve">DM-FR-09; EH-15; SRS 7.5 Flow; s.3 note (Section 16); s.14 Implementation note; s.15.4</t>
  </si>
  <si>
    <t xml:space="preserve">CL-59</t>
  </si>
  <si>
    <t xml:space="preserve">F24</t>
  </si>
  <si>
    <t xml:space="preserve">Correction</t>
  </si>
  <si>
    <t xml:space="preserve">Reconciled: EH-15 "keep Requested; mark Escalated" and DM-FR-09 state "Escalated" describe one thing – Escalated marks a dispatch that is still unacknowledged. US-D11 and US-D12 reworded. No transition table invented.</t>
  </si>
  <si>
    <t xml:space="preserve">Interpretation applied in US-D11/US-D12: Escalated marks a dispatch that is still unacknowledged. DECISION REQUIRED (SRS owner): confirm whether Escalated is (a) a marker on a Requested dispatch or (b) a separate state, and whether an Escalated dispatch may still become Acknowledged on a late acknowledgement (EH-17). If (b), US-D11/US-D12 wording must be changed.</t>
  </si>
  <si>
    <t xml:space="preserve">CL-60</t>
  </si>
  <si>
    <t xml:space="preserve">G24</t>
  </si>
  <si>
    <t xml:space="preserve">Status</t>
  </si>
  <si>
    <t xml:space="preserve">Resolved – documented interpretation; state machine still to be baselined by team (SRS s.14)</t>
  </si>
  <si>
    <t xml:space="preserve">Applied in stories – SRS-owner confirmation required</t>
  </si>
  <si>
    <t xml:space="preserve">CL-61</t>
  </si>
  <si>
    <t xml:space="preserve">D25</t>
  </si>
  <si>
    <t xml:space="preserve">AM-NFR-14 speaks of "role ... settings" being reversible, but roles cannot be changed through configuration (AM-FR-03, EH-24). Story mirrors the NFR wording.</t>
  </si>
  <si>
    <t xml:space="preserve">AM-NFR-14 speaks of "role ... settings" being reversible, but roles cannot be changed through configuration (AM-FR-03, EH-24). Story mirrors the NFR wording. Re-verified: AM-NFR-14 (s.10) says "Scenario, role, timeout and moderation settings are versioned, attributable and reversible"; AM-NFR-06 says "Only three roles exist. The role list and the scenario list are fixed"; AM-FR-02 rejects any role outside the three; s.15.5 offers rollback only for configuration versions (POST /admin/config/versions/:version/rollback, AM-FR-03) and has no rollback route for roles; s.14 says "AM-NFR-14 governs configuration".</t>
  </si>
  <si>
    <t xml:space="preserve">Earlier status "Resolved" overstated: the SRS wording is ambiguous and the reading needs owner confirmation.</t>
  </si>
  <si>
    <t xml:space="preserve">AM-NFR-14; AM-NFR-06; AM-FR-02; s.14; s.15.5</t>
  </si>
  <si>
    <t xml:space="preserve">CL-62</t>
  </si>
  <si>
    <t xml:space="preserve">F25</t>
  </si>
  <si>
    <t xml:space="preserve">US-A30 reworded: only an account's assignment to one of the three roles and its permissions is versioned and reversible; the role list is fixed (AM-NFR-06, AM-FR-02, EH-24). AM-FR-02 and AM-NFR-06 linked.</t>
  </si>
  <si>
    <t xml:space="preserve">Interpretation applied in US-A30: only an account's assignment to one of the three roles and its permissions is versioned and reversible; the role list is fixed. DECISION REQUIRED (SRS owner): confirm that "role" in AM-NFR-14 means role/permission assignment (AM-FR-02) – or delete "role" from the NFR – and say whether role-assignment rollback is wanted (no route exists for it).</t>
  </si>
  <si>
    <t xml:space="preserve">CL-63</t>
  </si>
  <si>
    <t xml:space="preserve">G25</t>
  </si>
  <si>
    <t xml:space="preserve">Resolved – documented interpretation; SRS wording clarification recommended</t>
  </si>
  <si>
    <t xml:space="preserve">CL-64</t>
  </si>
  <si>
    <t xml:space="preserve">CR-25</t>
  </si>
  <si>
    <t xml:space="preserve">Every measurable target is "proposed until approved by [named approver]"; approver still unnamed (open decision 3). Stories cannot state targets.</t>
  </si>
  <si>
    <t xml:space="preserve">Every measurable target is "proposed until approved by [named approver]"; approver still unnamed (open decision 3). Stories cannot state targets. Re-verified: the only approver text anywhere in the SRS is the placeholder "[named approver]" (s.2 Assumptions, s.8, s.9, s.10 introductions, s.14 open decision 3); no figure, unit or approver is defined. NU-NFR-03 adds that numeric targets are proposed only after workload analysis.</t>
  </si>
  <si>
    <t xml:space="preserve">Re-verified against the SRS text; decision/proposal recorded without choosing an outcome.</t>
  </si>
  <si>
    <t xml:space="preserve">SRS s.2; s.8–10 intros; NU-NFR-03; s.14 open decision 3 and Implementation note</t>
  </si>
  <si>
    <t xml:space="preserve">CL-65</t>
  </si>
  <si>
    <t xml:space="preserve">F27</t>
  </si>
  <si>
    <t xml:space="preserve">Confirmed: SRS s.2, s.8, s.9, s.10 and s.14 (open decision 3) define no approver and no values. Stories state no targets.</t>
  </si>
  <si>
    <t xml:space="preserve">DECISION REQUIRED (business owner): (1) name the approver that replaces "[named approver]"; (2) have that approver approve proposed numeric performance, availability, timeliness, capacity and recovery targets for at least NU-NFR-03, NU-NFR-04, NU-NFR-11, DM-NFR-03, DM-NFR-04, AM-NFR-02 and AM-NFR-05, after the workload analysis. Stories state no targets until then.</t>
  </si>
  <si>
    <t xml:space="preserve">CL-66</t>
  </si>
  <si>
    <t xml:space="preserve">CR-26</t>
  </si>
  <si>
    <t xml:space="preserve">F28</t>
  </si>
  <si>
    <t xml:space="preserve">US-D17 now states the need comes from DM-FR-19 where adopted, otherwise is entered directly under DM-FR-13 (SRS DM-FR-13, s.15.4 note). Keep/skip decision remains.</t>
  </si>
  <si>
    <t xml:space="preserve">DECISION REQUIRED (business owner): keep or skip DM-FR-19 (needs management). If skipped (SRS s.14 open decision 1; DM-FR-13; s.12 step J; s.15.4 note): staff enter needs directly under DM-FR-13, POST /dm/allocations takes an inline need object, and US-D23 would be retired. If kept: DM-FR-19 and /dm/needs routes apply. US-D17 already states both routes.</t>
  </si>
  <si>
    <t xml:space="preserve">SRS s.14 open decision 1; DM-FR-13; DM-FR-19; s.12 step J; s.15.4</t>
  </si>
  <si>
    <t xml:space="preserve">CL-67</t>
  </si>
  <si>
    <t xml:space="preserve">CR-27</t>
  </si>
  <si>
    <t xml:space="preserve">F29</t>
  </si>
  <si>
    <t xml:space="preserve">Optional set (NU-FR-14, AM-FR-13, NU-NFR-15, AM-NFR-16, EH-26, 7.11) kept with (Optional) labels; companion stories cross-referenced. Keep/skip decision remains.</t>
  </si>
  <si>
    <t xml:space="preserve">DECISION REQUIRED (business owner): keep or skip the optional data-request set as one unit – NU-FR-14, AM-FR-13, NU-NFR-15, AM-NFR-16, EH-26, specification 7.11 and the /me/data-requests and /admin/data-requests routes (SRS s.14 open decision 4). If skipped, stories US-N20, US-N36, US-A15 and US-A32 (and EH-26 links) would be retired or reduced. No outcome assumed.</t>
  </si>
  <si>
    <t xml:space="preserve">SRS s.14 open decision 4; NU-FR-14; AM-FR-13; 7.11; s.15.3 and s.15.5</t>
  </si>
  <si>
    <t xml:space="preserve">CL-68</t>
  </si>
  <si>
    <t xml:space="preserve">CR-28</t>
  </si>
  <si>
    <t xml:space="preserve">F30</t>
  </si>
  <si>
    <t xml:space="preserve">Optional draft (NU-FR-13, NU-NFR-14) kept with (Optional) labels; core retry safety no longer depends on it. Keep/skip decision remains (also affects EH-01, EH-12, 13.6 wording).</t>
  </si>
  <si>
    <t xml:space="preserve">DECISION REQUIRED (business owner): keep or skip the browser draft – NU-FR-13 and NU-NFR-14 (SRS s.14 open decision 2). It also decides the draft wording in EH-01 and EH-12 (s.11 consistency note), scenario 13.6 and the s.2 connectivity assumption. If skipped, US-N18 and US-N35 would be retired; US-N19 keeps its core idempotent-retry criteria (see CR-49). No outcome assumed.</t>
  </si>
  <si>
    <t xml:space="preserve">SRS s.14 open decision 2; NU-FR-13; NU-NFR-14; EH-01; EH-12; 13.6</t>
  </si>
  <si>
    <t xml:space="preserve">CL-69</t>
  </si>
  <si>
    <t xml:space="preserve">CR-46</t>
  </si>
  <si>
    <t xml:space="preserve">SRS s.15.4/15.5 use a fifth "dispatch" permission (acknowledgement, rejection, progress, completion routes; permission grant route), but s.1, s.2 and AM-FR-02 define only Publisher/Approver, moderator, closer and supervisor.</t>
  </si>
  <si>
    <t xml:space="preserve">SRS s.15.4/15.5 use a fifth "dispatch" permission (acknowledgement, rejection, progress, completion routes; permission grant route), but s.1, s.2 and AM-FR-02 define only Publisher/Approver, moderator, closer and supervisor. Re-verified: s.1 (p.1), s.5 introduction (p.13), s.2 stakeholder note and AM-FR-02 (p.23) list exactly four permissions (Publisher/Approver, moderator, closer, supervisor). s.15.4 (p.67 header, p.69 routes) requires a "dispatch" permission on /dispatches/:id/acknowledgement, /rejection, /progress and /completion, and s.15.5 (p.72) lets PUT /admin/users/:id/permissions grant "publisher, moderator, closure, dispatch and supervisor". The SRS also varies the names (closer/closure, Publisher/Approver/publisher). 7.5 says only that a "Disaster Management operator" records completion.</t>
  </si>
  <si>
    <t xml:space="preserve">Verified: genuine SRS inconsistency; exact references added.</t>
  </si>
  <si>
    <t xml:space="preserve">SRS s.1; s.2; s.5; AM-FR-02; s.15.4; s.15.5</t>
  </si>
  <si>
    <t xml:space="preserve">CL-70</t>
  </si>
  <si>
    <t xml:space="preserve">F48</t>
  </si>
  <si>
    <t xml:space="preserve">Not changed: stories keep the four documented permissions; no permission invented.</t>
  </si>
  <si>
    <t xml:space="preserve">Not changed: stories keep the four documented permissions. DECISION REQUIRED (SRS owner), proposed options: (A) delete "dispatch" from s.15.4/15.5 so these routes need only the Disaster Management role; or (B) add "dispatch" as a fifth permission in s.1, s.2, s.5, AM-FR-02 and 7.5, after which US-A03, US-D11, US-D13 and US-X02 to US-X04 must be updated. Align permission names either way.</t>
  </si>
  <si>
    <t xml:space="preserve">CL-71</t>
  </si>
  <si>
    <t xml:space="preserve">G48</t>
  </si>
  <si>
    <t xml:space="preserve">Open – SRS owner / business decision</t>
  </si>
  <si>
    <t xml:space="preserve">Open – SRS owner decision (not changed)</t>
  </si>
  <si>
    <t xml:space="preserve">CL-72</t>
  </si>
  <si>
    <t xml:space="preserve">CR-47</t>
  </si>
  <si>
    <t xml:space="preserve">Error mapping lists EH-04 and EH-05 under 404 and EH-14 under 409, but Section 11 defines them as duplicate report, unverified incident and failed aid delivery.</t>
  </si>
  <si>
    <t xml:space="preserve">Error mapping lists EH-04 and EH-05 under 404 and EH-14 under 409, but Section 11 defines them as duplicate report, unverified incident and failed aid delivery. Re-verified: s.15.7 (p.76) maps 404 to EH-04 and EH-05 and 409 to EH-14 and EH-23. Section 11 defines EH-04 as Duplicate report (never auto-delete, show matches), EH-05 as Unverified incident (keep non-verified, request information) and EH-14 as Failed aid delivery (keep non-success, reschedule); none is a not-found or state-conflict error. Only EH-23 (invalid closure) fits 409. The ownership 404 is defined in s.15.1 with no EH id, and 409 for concurrent update/double-booking has no Section 11 case.</t>
  </si>
  <si>
    <t xml:space="preserve">SRS s.15.7; s.15.1 Ownership; s.11 EH-04, EH-05, EH-14, EH-23</t>
  </si>
  <si>
    <t xml:space="preserve">CL-73</t>
  </si>
  <si>
    <t xml:space="preserve">F49</t>
  </si>
  <si>
    <t xml:space="preserve">Not changed: stories cite error cases by their Section 11 meaning.</t>
  </si>
  <si>
    <t xml:space="preserve">Not changed: stories cite EH-04, EH-05 and EH-14 by their Section 11 meaning. DECISION REQUIRED (SRS owner), proposed correction: remove EH-04 and EH-05 from the 404 row and EH-14 from the 409 row (or state the HTTP condition each triggers); cite s.15.1 Ownership for 404 and add or cite a case for concurrent update and double-booking.</t>
  </si>
  <si>
    <t xml:space="preserve">CL-74</t>
  </si>
  <si>
    <t xml:space="preserve">G49</t>
  </si>
  <si>
    <t xml:space="preserve">Open – SRS documentation fix</t>
  </si>
  <si>
    <t xml:space="preserve">Open – SRS documentation fix (not changed)</t>
  </si>
  <si>
    <t xml:space="preserve">CL-75</t>
  </si>
  <si>
    <t xml:space="preserve">CR-48</t>
  </si>
  <si>
    <t xml:space="preserve">D50</t>
  </si>
  <si>
    <t xml:space="preserve">Scenarios 13.12 and 13.13 are labelled Optional, but DM-FR-17 and DM-FR-18 (and 13.1) are core requirements.</t>
  </si>
  <si>
    <t xml:space="preserve">Scenarios 13.12 and 13.13 are labelled Optional, but DM-FR-17 and DM-FR-18 (and 13.1) are core requirements. Re-verified: s.13 introduction (p.57) says "11 core scenarios; 13 with the optional ones" and 13.12/13.13 (p.58) are labelled Optional. But 13.12 exercises DM-FR-18 and 13.13 exercises DM-FR-17 and DM-FR-11, which are core (s.5: 18 core DM requirements, only DM-FR-19/20 optional), and specifications 7.7 and 7.9 are among the 10 core specifications (only 7.11 is optional). No optional requirement appears in either scenario; core scenario 13.1 already includes moderation and public-update publishing.</t>
  </si>
  <si>
    <t xml:space="preserve">Verified: genuine SRS labelling inconsistency; exact references added.</t>
  </si>
  <si>
    <t xml:space="preserve">SRS s.13 intro; 13.12; 13.13; s.5; 7.7; 7.9; s.14 Final totals</t>
  </si>
  <si>
    <t xml:space="preserve">CL-76</t>
  </si>
  <si>
    <t xml:space="preserve">F50</t>
  </si>
  <si>
    <t xml:space="preserve">Not changed: stories treat moderation and safety approval as core.</t>
  </si>
  <si>
    <t xml:space="preserve">Not changed: stories treat moderation and safety-content approval as core. DECISION REQUIRED (SRS owner), proposed options: (A) remove "(Optional)" from 13.12/13.13 and update the counts to 13 core scenarios (cover note, s.14 Final totals); or (B) keep the label and state that they are optional illustrations of core requirements.</t>
  </si>
  <si>
    <t xml:space="preserve">CL-77</t>
  </si>
  <si>
    <t xml:space="preserve">G50</t>
  </si>
  <si>
    <t xml:space="preserve">Open – SRS clarification</t>
  </si>
  <si>
    <t xml:space="preserve">Open – SRS clarification (not changed)</t>
  </si>
  <si>
    <t xml:space="preserve">CL-78</t>
  </si>
  <si>
    <t xml:space="preserve">CR-49</t>
  </si>
  <si>
    <t xml:space="preserve">A51:G51</t>
  </si>
  <si>
    <t xml:space="preserve">New row</t>
  </si>
  <si>
    <t xml:space="preserve">SRS s.15.1 (p.62) makes Idempotency-Key mandatory on POST /incidents, /donations and /aid-contributions but cites "(EH-12, NU-FR-13)"; NU-FR-13 is Optional (p.11) and open decision 2 allows skipping it, which would leave the mandatory rule without an FR source (EH-12 remains).</t>
  </si>
  <si>
    <t xml:space="preserve">New SRS-level inconsistency found while re-verifying CR-25 to CR-28 and CR-46 to CR-48.</t>
  </si>
  <si>
    <t xml:space="preserve">See Issue text</t>
  </si>
  <si>
    <t xml:space="preserve">CL-79</t>
  </si>
  <si>
    <t xml:space="preserve">CR-50</t>
  </si>
  <si>
    <t xml:space="preserve">A52:G52</t>
  </si>
  <si>
    <t xml:space="preserve">SRS s.14 lists four open decisions and says they change "only the optional counts", but five other items are labelled Optional (7 optional FRs and 5 optional NFRs in total, matching the s.14 totals) and no decision covers NU-FR-15, DM-FR-20, AM-FR-14, DM-NFR-16 or AM-NFR-15.</t>
  </si>
  <si>
    <t xml:space="preserve">CL-80</t>
  </si>
  <si>
    <t xml:space="preserve">FR-NFR Traceability</t>
  </si>
  <si>
    <t xml:space="preserve">G26</t>
  </si>
  <si>
    <t xml:space="preserve">Coverage status</t>
  </si>
  <si>
    <t xml:space="preserve">Covered – corrected</t>
  </si>
  <si>
    <t xml:space="preserve">Covered – open issue</t>
  </si>
  <si>
    <t xml:space="preserve">Interpretation applied but SRS-owner confirmation still required.</t>
  </si>
  <si>
    <t xml:space="preserve">CL-81</t>
  </si>
  <si>
    <t xml:space="preserve">I26</t>
  </si>
  <si>
    <t xml:space="preserve">Corrective action</t>
  </si>
  <si>
    <t xml:space="preserve">Resolved (documented interpretation). Team still to baseline the dispatch state machine (SRS s.14); SRS Section 3 state list and DM-FR-09 should add Completed.</t>
  </si>
  <si>
    <t xml:space="preserve">Open: SRS-owner confirmation of the applied interpretation (CR-22).</t>
  </si>
  <si>
    <t xml:space="preserve">Status aligned with the Conflict Register.</t>
  </si>
  <si>
    <t xml:space="preserve">CL-82</t>
  </si>
  <si>
    <t xml:space="preserve">G113</t>
  </si>
  <si>
    <t xml:space="preserve">CL-83</t>
  </si>
  <si>
    <t xml:space="preserve">I113</t>
  </si>
  <si>
    <t xml:space="preserve">Resolved (documented interpretation).</t>
  </si>
  <si>
    <t xml:space="preserve">CL-84</t>
  </si>
  <si>
    <t xml:space="preserve">G40</t>
  </si>
  <si>
    <t xml:space="preserve">CL-85</t>
  </si>
  <si>
    <t xml:space="preserve">I40</t>
  </si>
  <si>
    <t xml:space="preserve">Resolved (documented interpretation); SRS wording of AM-NFR-14 could be clarified.</t>
  </si>
  <si>
    <t xml:space="preserve">Open: SRS-owner confirmation of the applied interpretation (CR-23).</t>
  </si>
  <si>
    <t xml:space="preserve">CL-86</t>
  </si>
  <si>
    <t xml:space="preserve">G96</t>
  </si>
  <si>
    <t xml:space="preserve">CL-87</t>
  </si>
  <si>
    <t xml:space="preserve">I96</t>
  </si>
  <si>
    <t xml:space="preserve">Resolved (documented interpretation); SRS wording clarification recommended.</t>
  </si>
  <si>
    <t xml:space="preserve">CL-88</t>
  </si>
  <si>
    <t xml:space="preserve">I54</t>
  </si>
  <si>
    <t xml:space="preserve">Open: name approver.</t>
  </si>
  <si>
    <t xml:space="preserve">Decision required (business owner): name the approver and approve the proposed targets/plan (CR-25).</t>
  </si>
  <si>
    <t xml:space="preserve">Exact decision recorded.</t>
  </si>
  <si>
    <t xml:space="preserve">CL-89</t>
  </si>
  <si>
    <t xml:space="preserve">I62</t>
  </si>
  <si>
    <t xml:space="preserve">CL-90</t>
  </si>
  <si>
    <t xml:space="preserve">I69</t>
  </si>
  <si>
    <t xml:space="preserve">CL-91</t>
  </si>
  <si>
    <t xml:space="preserve">I84</t>
  </si>
  <si>
    <t xml:space="preserve">CL-92</t>
  </si>
  <si>
    <t xml:space="preserve">I87</t>
  </si>
  <si>
    <t xml:space="preserve">Open: define recovery plan.</t>
  </si>
  <si>
    <t xml:space="preserve">CL-93</t>
  </si>
  <si>
    <t xml:space="preserve">I15</t>
  </si>
  <si>
    <t xml:space="preserve">Open: decide keep/skip; if skipped, retire US-N18, US-N35 and the draft wording in EH-01/EH-12.</t>
  </si>
  <si>
    <t xml:space="preserve">Decision required (business owner): keep or skip the browser draft (CR-28).</t>
  </si>
  <si>
    <t xml:space="preserve">CL-94</t>
  </si>
  <si>
    <t xml:space="preserve">I65</t>
  </si>
  <si>
    <t xml:space="preserve">Open: decide with NU-FR-13.</t>
  </si>
  <si>
    <t xml:space="preserve">CL-95</t>
  </si>
  <si>
    <t xml:space="preserve">I16</t>
  </si>
  <si>
    <t xml:space="preserve">Open: decide keep/skip with AM-FR-13, NU-NFR-15, AM-NFR-16, EH-26.</t>
  </si>
  <si>
    <t xml:space="preserve">Decision required (business owner): keep or skip the data-request set as a unit (CR-27).</t>
  </si>
  <si>
    <t xml:space="preserve">CL-96</t>
  </si>
  <si>
    <t xml:space="preserve">I50</t>
  </si>
  <si>
    <t xml:space="preserve">Open: decide with NU-FR-14.</t>
  </si>
  <si>
    <t xml:space="preserve">CL-97</t>
  </si>
  <si>
    <t xml:space="preserve">I66</t>
  </si>
  <si>
    <t xml:space="preserve">CL-98</t>
  </si>
  <si>
    <t xml:space="preserve">I98</t>
  </si>
  <si>
    <t xml:space="preserve">CL-99</t>
  </si>
  <si>
    <t xml:space="preserve">I124</t>
  </si>
  <si>
    <t xml:space="preserve">Open: adoption pending.</t>
  </si>
  <si>
    <t xml:space="preserve">CL-100</t>
  </si>
  <si>
    <t xml:space="preserve">I36</t>
  </si>
  <si>
    <t xml:space="preserve">Open: business decision keep/skip. Story wording already works either way.</t>
  </si>
  <si>
    <t xml:space="preserve">Decision required (business owner): keep or skip DM-FR-19 (CR-26).</t>
  </si>
  <si>
    <t xml:space="preserve">CL-101</t>
  </si>
  <si>
    <t xml:space="preserve">Note 9</t>
  </si>
  <si>
    <t xml:space="preserve">A11:B11</t>
  </si>
  <si>
    <t xml:space="preserve">Records the v2 verification pass.</t>
  </si>
  <si>
    <t xml:space="preserve">CL-102</t>
  </si>
  <si>
    <t xml:space="preserve">D36</t>
  </si>
  <si>
    <t xml:space="preserve">NU-NFR-13 states that it pairs with DM-FR-18, and the story criterion "Evidence is moderated before wider visibility" is DM-FR-18 behaviour; the link was missing.</t>
  </si>
  <si>
    <t xml:space="preserve">SRS NU-NFR-13 Explanation; DM-FR-18; 7.7</t>
  </si>
  <si>
    <t xml:space="preserve">CR-51</t>
  </si>
  <si>
    <t xml:space="preserve">CL-103</t>
  </si>
  <si>
    <t xml:space="preserve">Specification 7.10 Failure requires the control service to fail safe and alert; no criterion stated it.</t>
  </si>
  <si>
    <t xml:space="preserve">SRS 7.10 Failure; AM-FR-11</t>
  </si>
  <si>
    <t xml:space="preserve">CR-52</t>
  </si>
  <si>
    <t xml:space="preserve">CL-104</t>
  </si>
  <si>
    <t xml:space="preserve">D35</t>
  </si>
  <si>
    <t xml:space="preserve">US-N07, US-N21, US-D22, US-D25, US-D31, US-D39</t>
  </si>
  <si>
    <t xml:space="preserve">Aligned to the corrected story columns.</t>
  </si>
  <si>
    <t xml:space="preserve">CL-105</t>
  </si>
  <si>
    <t xml:space="preserve">E35</t>
  </si>
  <si>
    <t xml:space="preserve">Linked stories</t>
  </si>
  <si>
    <t xml:space="preserve">Aligned to story columns.</t>
  </si>
  <si>
    <t xml:space="preserve">Story columns</t>
  </si>
  <si>
    <t xml:space="preserve">CL-106</t>
  </si>
  <si>
    <t xml:space="preserve">F35</t>
  </si>
  <si>
    <t xml:space="preserve">No. of stories</t>
  </si>
  <si>
    <t xml:space="preserve">CL-107</t>
  </si>
  <si>
    <t xml:space="preserve">H35</t>
  </si>
  <si>
    <t xml:space="preserve">Coverage gap / note</t>
  </si>
  <si>
    <t xml:space="preserve">US-N07 updated (CR-31); US-D22 updated (CR-29, CR-43); US-D25 updated (CR-44).</t>
  </si>
  <si>
    <t xml:space="preserve">US-N07 updated (CR-31); US-D22 updated (CR-29, CR-43); US-D25 updated (CR-44). US-N34 link added (CR-51); scenario 13.12 is labelled Optional although this FR is core (CR-48, SRS correction).</t>
  </si>
  <si>
    <t xml:space="preserve">Register item not yet reflected on this requirement row.</t>
  </si>
  <si>
    <t xml:space="preserve">CR-48; CR-51</t>
  </si>
  <si>
    <t xml:space="preserve">CL-108</t>
  </si>
  <si>
    <t xml:space="preserve">H64</t>
  </si>
  <si>
    <t xml:space="preserve">US-N07 updated (CR-31).</t>
  </si>
  <si>
    <t xml:space="preserve">US-N07 updated (CR-31). US-N34 now also cites DM-FR-18, with which the NFR pairs (CR-51).</t>
  </si>
  <si>
    <t xml:space="preserve">CL-109</t>
  </si>
  <si>
    <t xml:space="preserve">H48</t>
  </si>
  <si>
    <t xml:space="preserve">Emergency-alternative message added to US-N33 (CR-05); US-A17 link added (CR-11). Also: US-N01 updated (CR-29); US-N02 updated (CR-30); US-D25 updated (CR-44); US-A13 updated (CR-44).</t>
  </si>
  <si>
    <t xml:space="preserve">Emergency-alternative message added to US-N33 (CR-05); US-A17 link added (CR-11). Also: US-N01 updated (CR-29); US-N02 updated (CR-30); US-D25 updated (CR-44); US-A13 updated (CR-44). US-A13 fail-safe criterion added (CR-52).</t>
  </si>
  <si>
    <t xml:space="preserve">CL-110</t>
  </si>
  <si>
    <t xml:space="preserve">H34</t>
  </si>
  <si>
    <t xml:space="preserve">US-D21 updated (CR-42); US-D40 updated (CR-21).</t>
  </si>
  <si>
    <t xml:space="preserve">US-D21 updated (CR-42); US-D40 updated (CR-21). Scenario 13.13 is labelled Optional although this FR is core (CR-48, SRS correction).</t>
  </si>
  <si>
    <t xml:space="preserve">CL-111</t>
  </si>
  <si>
    <t xml:space="preserve">H26</t>
  </si>
  <si>
    <t xml:space="preserve">Escalated reconciled as a marker on a still-unacknowledged dispatch (EH-15); Completed and Failed added from SRS 7.5 flow and s.15.4 (CR-22, CR-24, CR-38).</t>
  </si>
  <si>
    <t xml:space="preserve">Escalated reconciled as a marker on a still-unacknowledged dispatch (EH-15); Completed and Failed added from SRS 7.5 flow and s.15.4 (CR-22, CR-24, CR-38). Completed/Failed taken from 7.5 Flow and s.15.4; DM-FR-09 text and Section 3 state list not yet aligned (CR-24); "dispatch" permission inconsistency (CR-46).</t>
  </si>
  <si>
    <t xml:space="preserve">CR-24; CR-46</t>
  </si>
  <si>
    <t xml:space="preserve">CL-112</t>
  </si>
  <si>
    <t xml:space="preserve">H27</t>
  </si>
  <si>
    <t xml:space="preserve">US-X04 recording wording corrected (CR-14). Also: US-D13 updated (CR-39).</t>
  </si>
  <si>
    <t xml:space="preserve">US-X04 recording wording corrected (CR-14). Also: US-D13 updated (CR-39). "dispatch" permission on acknowledgement routes is not one of the four documented permissions (CR-46, SRS decision).</t>
  </si>
  <si>
    <t xml:space="preserve">CL-113</t>
  </si>
  <si>
    <t xml:space="preserve">H39</t>
  </si>
  <si>
    <t xml:space="preserve">US-D30 updated (CR-45); US-A30 updated (CR-23).</t>
  </si>
  <si>
    <t xml:space="preserve">US-D30 updated (CR-45); US-A30 updated (CR-23). s.15.5 permission route lists a fifth "dispatch" permission; AM-FR-02 lists four (CR-46, SRS decision).</t>
  </si>
  <si>
    <t xml:space="preserve">CL-114</t>
  </si>
  <si>
    <t xml:space="preserve">H17</t>
  </si>
  <si>
    <t xml:space="preserve">Optional; no gap identified. Also: US-D25 updated (CR-44).</t>
  </si>
  <si>
    <t xml:space="preserve">Optional; no gap identified. Also: US-D25 updated (CR-44). Optional with no keep/skip decision in SRS s.14 (CR-50).</t>
  </si>
  <si>
    <t xml:space="preserve">CL-115</t>
  </si>
  <si>
    <t xml:space="preserve">H37</t>
  </si>
  <si>
    <t xml:space="preserve">Optional; no gap identified.</t>
  </si>
  <si>
    <t xml:space="preserve">Optional; no gap identified. Optional with no keep/skip decision in SRS s.14 (CR-50).</t>
  </si>
  <si>
    <t xml:space="preserve">CL-116</t>
  </si>
  <si>
    <t xml:space="preserve">H51</t>
  </si>
  <si>
    <t xml:space="preserve">Approval-timeout / single-administrator failure criterion added to US-A16 (CR-29).</t>
  </si>
  <si>
    <t xml:space="preserve">Approval-timeout / single-administrator failure criterion added to US-A16 (CR-29). Optional with no keep/skip decision in SRS s.14 (CR-50).</t>
  </si>
  <si>
    <t xml:space="preserve">CL-117</t>
  </si>
  <si>
    <t xml:space="preserve">H82</t>
  </si>
  <si>
    <t xml:space="preserve">CL-118</t>
  </si>
  <si>
    <t xml:space="preserve">H97</t>
  </si>
  <si>
    <t xml:space="preserve">Optional NFR-only requirement; no FR exists to link (CR-12).</t>
  </si>
  <si>
    <t xml:space="preserve">Optional NFR-only requirement; no FR exists to link (CR-12). Optional with no keep/skip decision in SRS s.14 (CR-50).</t>
  </si>
  <si>
    <t xml:space="preserve">CL-119</t>
  </si>
  <si>
    <t xml:space="preserve">H5</t>
  </si>
  <si>
    <t xml:space="preserve">Core retry safety is anchored in SRS 15.1 Idempotency, 13.6 and EH-12, not only in Optional NU-FR-13 (CR-03, CR-35).</t>
  </si>
  <si>
    <t xml:space="preserve">Core retry safety is anchored in SRS 15.1 Idempotency, 13.6 and EH-12, not only in Optional NU-FR-13 (CR-03, CR-35). s.15.1 cites Optional NU-FR-13 for the mandatory Idempotency-Key header (CR-49, SRS correction).</t>
  </si>
  <si>
    <t xml:space="preserve">CL-120</t>
  </si>
  <si>
    <t xml:space="preserve">CR-24</t>
  </si>
  <si>
    <t xml:space="preserve">Resolved in stories; SRS text alignment recommended</t>
  </si>
  <si>
    <t xml:space="preserve">Corrected in stories – SRS documentation fix pending</t>
  </si>
  <si>
    <t xml:space="preserve">Counted as Resolved although the SRS text (DM-FR-09, Section 3 state list) still needs alignment; status split so counts reconcile.</t>
  </si>
  <si>
    <t xml:space="preserve">SRS 7.5 Flow; DM-FR-09; s.3</t>
  </si>
  <si>
    <t xml:space="preserve">CL-121</t>
  </si>
  <si>
    <t xml:space="preserve">SRS s.15.4/15.5 use a fifth "dispatch" permission (acknowledgement, rejection, progress, completion routes; permission grant route), but s.1, s.2 and AM-FR-02 define only Publisher/Approver, moderator, closer and supervisor. Re-verified: s.1 (p.1), s.5 introduction (p.13), s.2 stakeholder note and AM-FR-02 (p.23) list exactly four permissions (Publisher/Approver, moderator, closer, supervisor). s.15.4 (p.67 header, p.69 routes) requires a "dispatch" permission on /dispatches/:id/acknowledgement, /rejection, /progress and /completion, and s.15.5 (p.72) lets PUT /admin/users/:id/permissions grant "publisher, moderator, closure, dispatch and supervisor". The SRS also varies the names (closer/closure, Publisher/Approver/publisher). 7.5 says only that a "Disaster Management operator" records completion. Additional evidence: 7.5 Preconditions also requires that "the staff member holds dispatch authority", without naming it as one of the four permissions.</t>
  </si>
  <si>
    <t xml:space="preserve">New SRS reference found in the specification 7.5 preconditions.</t>
  </si>
  <si>
    <t xml:space="preserve">SRS 7.5 Preconditions</t>
  </si>
  <si>
    <t xml:space="preserve">CL-122</t>
  </si>
  <si>
    <t xml:space="preserve">A53:G53</t>
  </si>
  <si>
    <t xml:space="preserve">NU-NFR-13 pairs with DM-FR-18 and the story requires evidence moderation before wider visibility, but US-N34 cited only NU-FR-05.</t>
  </si>
  <si>
    <t xml:space="preserve">Found in the v3 re-check of NFR cross-references and execution specs.</t>
  </si>
  <si>
    <t xml:space="preserve">CL-123</t>
  </si>
  <si>
    <t xml:space="preserve">A54:G54</t>
  </si>
  <si>
    <t xml:space="preserve">Specification 7.10 Failure: the abuse-control service must fail safe and alert; no criterion stated it.</t>
  </si>
  <si>
    <t xml:space="preserve">CL-124</t>
  </si>
  <si>
    <t xml:space="preserve">Note 10</t>
  </si>
  <si>
    <t xml:space="preserve">A12:B12</t>
  </si>
  <si>
    <t xml:space="preserve">Records the v3 pass.</t>
  </si>
  <si>
    <t xml:space="preserve">CL-125</t>
  </si>
  <si>
    <t xml:space="preserve">Summary</t>
  </si>
  <si>
    <t xml:space="preserve">Scope / Requirements checked</t>
  </si>
  <si>
    <t xml:space="preserve">Result</t>
  </si>
  <si>
    <t xml:space="preserve">49 FR, 47 NFR, 26 error cases (122 items) from the Final SRS (Revised), Sections 4–11, 14 and Section 7 execution specs</t>
  </si>
  <si>
    <t xml:space="preserve">49 FR, 47 NFR, 26 error cases (122 items) from the Final SRS (Revised): Sections 3–15 including Section 7 execution specs 7.1–7.11, Section 12 workflow, Section 13 scenarios and Section 15 route specification</t>
  </si>
  <si>
    <t xml:space="preserve">Summary brought in line with the v3 registers and review scope.</t>
  </si>
  <si>
    <t xml:space="preserve">Conflict Register; Change Log</t>
  </si>
  <si>
    <t xml:space="preserve">CL-126</t>
  </si>
  <si>
    <t xml:space="preserve">Scope / Stories corrected</t>
  </si>
  <si>
    <t xml:space="preserve">C5</t>
  </si>
  <si>
    <t xml:space="preserve">37 stories; 44 story cells filled red (all logged in the Change Log)</t>
  </si>
  <si>
    <t xml:space="preserve">38 stories; 45 story cells filled red (all logged in the Change Log)</t>
  </si>
  <si>
    <t xml:space="preserve">CL-127</t>
  </si>
  <si>
    <t xml:space="preserve">Conflicts / Conflicts / issues recorded</t>
  </si>
  <si>
    <t xml:space="preserve">50 (High 0, Medium 19, Low 31)</t>
  </si>
  <si>
    <t xml:space="preserve">52 (High 0, Medium 19, Low 33)</t>
  </si>
  <si>
    <t xml:space="preserve">CL-128</t>
  </si>
  <si>
    <t xml:space="preserve">Conflicts / Resolved</t>
  </si>
  <si>
    <t xml:space="preserve">C7</t>
  </si>
  <si>
    <t xml:space="preserve">39 (CR-22 and CR-23 are no longer counted as resolved)</t>
  </si>
  <si>
    <t xml:space="preserve">40</t>
  </si>
  <si>
    <t xml:space="preserve">CL-129</t>
  </si>
  <si>
    <t xml:space="preserve">Conflicts / Open – flagged, not changed</t>
  </si>
  <si>
    <t xml:space="preserve">10 open or awaiting owner confirmation: business decisions CR-25, CR-27, CR-28; interpretations awaiting SRS-owner confirmation CR-22, CR-23; SRS inconsistencies CR-46 to CR-50</t>
  </si>
  <si>
    <t xml:space="preserve">11 open or awaiting owner action = 3 business decisions (CR-25, CR-27, CR-28) + 2 awaiting SRS-owner confirmation (CR-22, CR-23) + 1 corrected in stories with SRS documentation fix pending (CR-24) + 5 SRS corrections/decisions (CR-46 to CR-50)</t>
  </si>
  <si>
    <t xml:space="preserve">CL-130</t>
  </si>
  <si>
    <t xml:space="preserve">Limits / What this review does not claim</t>
  </si>
  <si>
    <t xml:space="preserve">Full compliance is NOT claimed: mandatory decisions (approver and targets), SRS-owner confirmations (CR-22, CR-23) and SRS corrections (CR-46 to CR-50) are open. No targets, approvals or optional-requirement choices were invented.</t>
  </si>
  <si>
    <t xml:space="preserve">Full compliance is NOT claimed: mandatory business decisions (approver and targets, CR-25; optional-set choices, CR-26 to CR-28), SRS-owner confirmations (CR-22, CR-23) and SRS corrections (CR-24, CR-46 to CR-50) are open. No targets, approvals or optional-requirement choices were invented.</t>
  </si>
  <si>
    <t xml:space="preserve">CL-131</t>
  </si>
  <si>
    <t xml:space="preserve">B21</t>
  </si>
  <si>
    <t xml:space="preserve">As a Disaster Management staff member with the closure permission, I want to close an incident with a recorded reason and optional public summary, so that every incident ends in a clear final state.</t>
  </si>
  <si>
    <t xml:space="preserve">Permission is named "closer" in SRS s.1/s.2, AM-FR-02 and US-A03; story used "closure permission".</t>
  </si>
  <si>
    <t xml:space="preserve">SRS s.1, s.2, AM-FR-02; AM-NFR-06</t>
  </si>
  <si>
    <t xml:space="preserve">CR-53</t>
  </si>
  <si>
    <t xml:space="preserve">CL-132</t>
  </si>
  <si>
    <t xml:space="preserve">Same naming alignment as the front of the card.</t>
  </si>
  <si>
    <t xml:space="preserve">CL-133</t>
  </si>
  <si>
    <t xml:space="preserve">Permission list used "moderation, closure, publishing and supervision"; aligned to the four documented permission names.</t>
  </si>
  <si>
    <t xml:space="preserve">CL-134</t>
  </si>
  <si>
    <t xml:space="preserve">C39</t>
  </si>
  <si>
    <t xml:space="preserve">• Only the three scenarios are analysed.
• Out-of-scope and unknown records are counted separately.</t>
  </si>
  <si>
    <t xml:space="preserve">"Only the three scenarios are analysed" read as conflicting with the separate count of Out of Scope records (US-D18, DM-FR-14).</t>
  </si>
  <si>
    <t xml:space="preserve">DM-FR-14; US-D18; SRS 12 step L</t>
  </si>
  <si>
    <t xml:space="preserve">CR-54</t>
  </si>
  <si>
    <t xml:space="preserve">CL-135</t>
  </si>
  <si>
    <t xml:space="preserve">G31</t>
  </si>
  <si>
    <t xml:space="preserve">Covered</t>
  </si>
  <si>
    <t xml:space="preserve">Status follows the story correction.</t>
  </si>
  <si>
    <t xml:space="preserve">CL-136</t>
  </si>
  <si>
    <t xml:space="preserve">H31</t>
  </si>
  <si>
    <t xml:space="preserve">No gap identified.</t>
  </si>
  <si>
    <t xml:space="preserve">US-D37 reworded: out-of-scope and unknown records are separate counts (CR-54).</t>
  </si>
  <si>
    <t xml:space="preserve">CL-137</t>
  </si>
  <si>
    <t xml:space="preserve">I31</t>
  </si>
  <si>
    <t xml:space="preserve">None.</t>
  </si>
  <si>
    <t xml:space="preserve">Resolved.</t>
  </si>
  <si>
    <t xml:space="preserve">CL-138</t>
  </si>
  <si>
    <t xml:space="preserve">H32</t>
  </si>
  <si>
    <t xml:space="preserve">Reopen rule added to US-D19 (CR-08).</t>
  </si>
  <si>
    <t xml:space="preserve">Reopen rule added to US-D19 (CR-08). Permission naming aligned to the four documented names (CR-53).</t>
  </si>
  <si>
    <t xml:space="preserve">Permission naming aligned.</t>
  </si>
  <si>
    <t xml:space="preserve">US-D19; US-D30</t>
  </si>
  <si>
    <t xml:space="preserve">CL-139</t>
  </si>
  <si>
    <t xml:space="preserve">H18</t>
  </si>
  <si>
    <t xml:space="preserve">US-D30 updated (CR-45).</t>
  </si>
  <si>
    <t xml:space="preserve">US-D30 updated (CR-45). Permission naming aligned to the four documented names (CR-53).</t>
  </si>
  <si>
    <t xml:space="preserve">CL-140</t>
  </si>
  <si>
    <t xml:space="preserve">US-D30 updated (CR-45); US-A30 updated (CR-23). s.15.5 permission route lists a fifth "dispatch" permission; AM-FR-02 lists four (CR-46, SRS decision). Permission naming aligned to the four documented names (CR-53).</t>
  </si>
  <si>
    <t xml:space="preserve">CL-141</t>
  </si>
  <si>
    <t xml:space="preserve">B10</t>
  </si>
  <si>
    <t xml:space="preserve">Notes text</t>
  </si>
  <si>
    <t xml:space="preserve">Count was stale: the register later recorded four business decisions (CR-25 to CR-28) and twelve open or partly open items.</t>
  </si>
  <si>
    <t xml:space="preserve">Conflict Register; Summary</t>
  </si>
  <si>
    <t xml:space="preserve">CR-55</t>
  </si>
  <si>
    <t xml:space="preserve">CL-142</t>
  </si>
  <si>
    <t xml:space="preserve">Note 11</t>
  </si>
  <si>
    <t xml:space="preserve">B13</t>
  </si>
  <si>
    <t xml:space="preserve">(new row)</t>
  </si>
  <si>
    <t xml:space="preserve">Record of this pass.</t>
  </si>
  <si>
    <t xml:space="preserve">Conflict Register CR-53 to CR-56</t>
  </si>
  <si>
    <t xml:space="preserve">CL-143</t>
  </si>
  <si>
    <t xml:space="preserve">A55:G55</t>
  </si>
  <si>
    <t xml:space="preserve">The same permissions were named "closer" (US-A03, Notes, SRS s.1/s.2), "closure" (US-D19, US-D30) and "supervision"/"pub</t>
  </si>
  <si>
    <t xml:space="preserve">Issue found in the cross-file consistency check.</t>
  </si>
  <si>
    <t xml:space="preserve">Sprint plan v2; SRS</t>
  </si>
  <si>
    <t xml:space="preserve">CL-144</t>
  </si>
  <si>
    <t xml:space="preserve">A56:G56</t>
  </si>
  <si>
    <t xml:space="preserve">US-D37 said only the three scenarios are analysed while US-D18 and DM-FR-14 count Out of Scope records separately.</t>
  </si>
  <si>
    <t xml:space="preserve">CL-145</t>
  </si>
  <si>
    <t xml:space="preserve">A57:G57</t>
  </si>
  <si>
    <t xml:space="preserve">Notes 8 gave three business decisions and three SRS inconsistencies; Summary V10 limited open items to CR-25 to CR-28 an</t>
  </si>
  <si>
    <t xml:space="preserve">CL-146</t>
  </si>
  <si>
    <t xml:space="preserve">CR-56</t>
  </si>
  <si>
    <t xml:space="preserve">A58:G58</t>
  </si>
  <si>
    <t xml:space="preserve">The workbook never stated how many stories are Optional. Twelve carry (Optional): N18, N20, N21, N35, N36, D23, D24, D41</t>
  </si>
  <si>
    <t xml:space="preserve">CL-147</t>
  </si>
  <si>
    <t xml:space="preserve">V10</t>
  </si>
  <si>
    <t xml:space="preserve">PASS (manual) – new criteria read against neighbouring stories and DM-FR-09/10/15/17/18, NU-FR-11/13, AM-FR-11/14, EH-12 to EH-17, EH-20/21, Sections 13 and 15: no new conflict found. Open items are limited to CR-25 to CR-28 and CR-46 to CR-48</t>
  </si>
  <si>
    <t xml:space="preserve">PASS (manual) – new criteria read against neighbouring stories and DM-FR-09/10/15/17/18, NU-FR-11/13, AM-FR-11/14, EH-12 to EH-17, EH-20/21, Sections 13 and 15: no new conflict found. Open or awaiting items at that pass were CR-25 to CR-28 and CR-46 to CR-48; the current list is CR-22 to CR-28 and CR-46 to CR-50</t>
  </si>
  <si>
    <t xml:space="preserve">Open-items list was out of date (see CR-55).</t>
  </si>
  <si>
    <t xml:space="preserve">CL-148</t>
  </si>
  <si>
    <t xml:space="preserve">Stories corrected</t>
  </si>
  <si>
    <t xml:space="preserve">39 stories; 47 story cells filled red (all logged in the Change Log)</t>
  </si>
  <si>
    <t xml:space="preserve">Count updated for this pass (US-D37 newly corrected; US-D19 and US-D30 already counted).</t>
  </si>
  <si>
    <t xml:space="preserve">CL-149</t>
  </si>
  <si>
    <t xml:space="preserve">Issues recorded</t>
  </si>
  <si>
    <t xml:space="preserve">56 (High 0, Medium 19, Low 37)</t>
  </si>
  <si>
    <t xml:space="preserve">Four issues added (CR-53 to CR-56).</t>
  </si>
  <si>
    <t xml:space="preserve">CL-150</t>
  </si>
  <si>
    <t xml:space="preserve">Resolved</t>
  </si>
  <si>
    <t xml:space="preserve">44</t>
  </si>
  <si>
    <t xml:space="preserve">CR-53 to CR-56 resolved.</t>
  </si>
  <si>
    <t xml:space="preserve">CL-151</t>
  </si>
  <si>
    <t xml:space="preserve">C11</t>
  </si>
  <si>
    <t xml:space="preserve">Traceability status counts</t>
  </si>
  <si>
    <t xml:space="preserve">Covered: 41, Covered (Optional): 4, Covered – corrected: 59, Covered – open issue: 18</t>
  </si>
  <si>
    <t xml:space="preserve">Covered: 40, Covered (Optional): 4, Covered – corrected: 60, Covered – open issue: 18</t>
  </si>
  <si>
    <t xml:space="preserve">DM-FR-14 moved from Covered to Covered – corrected.</t>
  </si>
  <si>
    <t xml:space="preserve">CL-152</t>
  </si>
  <si>
    <t xml:space="preserve">Reconciliation</t>
  </si>
  <si>
    <t xml:space="preserve">A38:C38</t>
  </si>
  <si>
    <t xml:space="preserve">56 issues = 44 resolved + 1 partly resolved + 2 awaiting SRS-owner confirmation + 1 corrected in stories/SRS doc fix pen</t>
  </si>
  <si>
    <t xml:space="preserve">CL-153</t>
  </si>
  <si>
    <t xml:space="preserve">Errors fixed</t>
  </si>
  <si>
    <t xml:space="preserve">A39:C39</t>
  </si>
  <si>
    <t xml:space="preserve">Permission names aligned (CR-53); US-D37 vs US-D18 wording (CR-54); stale Notes 8 and Summary V10 text (CR-55); Optional</t>
  </si>
  <si>
    <t xml:space="preserve">CL-154</t>
  </si>
  <si>
    <t xml:space="preserve">Optional stories</t>
  </si>
  <si>
    <t xml:space="preserve">A40:C40</t>
  </si>
  <si>
    <t xml:space="preserve">12 stories carry (Optional): US-N18, N20, N21, N35, N36, D23, D24, D41, A15, A16, A31, A32. The other 107 are core; US-N</t>
  </si>
  <si>
    <t xml:space="preserve">CL-155</t>
  </si>
  <si>
    <t xml:space="preserve">All stories</t>
  </si>
  <si>
    <t xml:space="preserve">G2:H38</t>
  </si>
  <si>
    <t xml:space="preserve">New columns</t>
  </si>
  <si>
    <t xml:space="preserve">Epic, Sprint</t>
  </si>
  <si>
    <t xml:space="preserve">Epics were not yet created; each story is now assigned to one epic and one sprint (or Cond).</t>
  </si>
  <si>
    <t xml:space="preserve">Task steps 5 and 6</t>
  </si>
  <si>
    <t xml:space="preserve">CR-57 to CR-68</t>
  </si>
  <si>
    <t xml:space="preserve">CL-156</t>
  </si>
  <si>
    <t xml:space="preserve">G2:H43</t>
  </si>
  <si>
    <t xml:space="preserve">CL-157</t>
  </si>
  <si>
    <t xml:space="preserve">G2:H34</t>
  </si>
  <si>
    <t xml:space="preserve">CL-158</t>
  </si>
  <si>
    <t xml:space="preserve">G2:H12</t>
  </si>
  <si>
    <t xml:space="preserve">CL-159</t>
  </si>
  <si>
    <t xml:space="preserve">Epics</t>
  </si>
  <si>
    <t xml:space="preserve">E01-E16</t>
  </si>
  <si>
    <t xml:space="preserve">A1:M21</t>
  </si>
  <si>
    <t xml:space="preserve">New sheet</t>
  </si>
  <si>
    <t xml:space="preserve">16 epics grouped into sprints</t>
  </si>
  <si>
    <t xml:space="preserve">Task step 5: organise stories into epics and generate sprints.</t>
  </si>
  <si>
    <t xml:space="preserve">Task step 5</t>
  </si>
  <si>
    <t xml:space="preserve">CL-160</t>
  </si>
  <si>
    <t xml:space="preserve">CR-57</t>
  </si>
  <si>
    <t xml:space="preserve">A59:G59</t>
  </si>
  <si>
    <t xml:space="preserve">The S2 dashboard must surface priorities, map and overdue or escalated dispatches, which are built in S3.</t>
  </si>
  <si>
    <t xml:space="preserve">Cross-epic conflict check (task step 6).</t>
  </si>
  <si>
    <t xml:space="preserve">Epics sheet</t>
  </si>
  <si>
    <t xml:space="preserve">CL-161</t>
  </si>
  <si>
    <t xml:space="preserve">CR-58</t>
  </si>
  <si>
    <t xml:space="preserve">A60:G60</t>
  </si>
  <si>
    <t xml:space="preserve">Withdrawal is blocked once dispatch has started, but dispatch does not exist until S3.</t>
  </si>
  <si>
    <t xml:space="preserve">CL-162</t>
  </si>
  <si>
    <t xml:space="preserve">CR-59</t>
  </si>
  <si>
    <t xml:space="preserve">A61:G61</t>
  </si>
  <si>
    <t xml:space="preserve">Closure reason, Closed state and closure audit are shown in S2 stories but closure is built in S5.</t>
  </si>
  <si>
    <t xml:space="preserve">CL-163</t>
  </si>
  <si>
    <t xml:space="preserve">CR-60</t>
  </si>
  <si>
    <t xml:space="preserve">A62:G62</t>
  </si>
  <si>
    <t xml:space="preserve">The audit log must record events from features built in later sprints (moderation S2, agency acknowledgements S3, closur</t>
  </si>
  <si>
    <t xml:space="preserve">CL-164</t>
  </si>
  <si>
    <t xml:space="preserve">CR-61</t>
  </si>
  <si>
    <t xml:space="preserve">A63:G63</t>
  </si>
  <si>
    <t xml:space="preserve">Rate limits are configured in S1 but must also cover uploads, flags and donations delivered in S2 and S4.</t>
  </si>
  <si>
    <t xml:space="preserve">CL-165</t>
  </si>
  <si>
    <t xml:space="preserve">CR-62</t>
  </si>
  <si>
    <t xml:space="preserve">A64:G64</t>
  </si>
  <si>
    <t xml:space="preserve">Flagged text arrives from US-N21, an Optional story outside S1-S5.</t>
  </si>
  <si>
    <t xml:space="preserve">CL-166</t>
  </si>
  <si>
    <t xml:space="preserve">CR-63</t>
  </si>
  <si>
    <t xml:space="preserve">A65:G65</t>
  </si>
  <si>
    <t xml:space="preserve">US-D03 refuses concurrent updates in S2 but full concurrency control is built in S5.</t>
  </si>
  <si>
    <t xml:space="preserve">CL-167</t>
  </si>
  <si>
    <t xml:space="preserve">CR-64</t>
  </si>
  <si>
    <t xml:space="preserve">A66:G66</t>
  </si>
  <si>
    <t xml:space="preserve">Alerts about transactions are in S3 but transactions exist only from S4.</t>
  </si>
  <si>
    <t xml:space="preserve">CL-168</t>
  </si>
  <si>
    <t xml:space="preserve">CR-65</t>
  </si>
  <si>
    <t xml:space="preserve">A67:G67</t>
  </si>
  <si>
    <t xml:space="preserve">Both stories need idempotent retry (idempotency key) and could be built twice with different behaviour.</t>
  </si>
  <si>
    <t xml:space="preserve">CL-169</t>
  </si>
  <si>
    <t xml:space="preserve">CR-66</t>
  </si>
  <si>
    <t xml:space="preserve">A68:G68</t>
  </si>
  <si>
    <t xml:space="preserve">Four permissions are defined, but dispatch actions may need a fifth "dispatch" permission (see CR-46).</t>
  </si>
  <si>
    <t xml:space="preserve">CL-170</t>
  </si>
  <si>
    <t xml:space="preserve">CR-67</t>
  </si>
  <si>
    <t xml:space="preserve">A69:G69</t>
  </si>
  <si>
    <t xml:space="preserve">Donation monitoring and contribution analytics could expose donors who chose anonymity.</t>
  </si>
  <si>
    <t xml:space="preserve">CL-171</t>
  </si>
  <si>
    <t xml:space="preserve">CR-68</t>
  </si>
  <si>
    <t xml:space="preserve">A70:G70</t>
  </si>
  <si>
    <t xml:space="preserve">Backups may hold records that retention or deletion rules require removing; the backup retention period is not defined.</t>
  </si>
  <si>
    <t xml:space="preserve">CL-172</t>
  </si>
  <si>
    <t xml:space="preserve">Note 12</t>
  </si>
  <si>
    <t xml:space="preserve">B14</t>
  </si>
  <si>
    <t xml:space="preserve">Record of epic pass.</t>
  </si>
  <si>
    <t xml:space="preserve">CL-173</t>
  </si>
  <si>
    <t xml:space="preserve">68 (High 0, Medium 23, Low 45)</t>
  </si>
  <si>
    <t xml:space="preserve">Counts updated for CR-57 to CR-68.</t>
  </si>
  <si>
    <t xml:space="preserve">CL-174</t>
  </si>
  <si>
    <t xml:space="preserve">54</t>
  </si>
  <si>
    <t xml:space="preserve">CL-175</t>
  </si>
  <si>
    <t xml:space="preserve">Open – flagged, not changed</t>
  </si>
  <si>
    <t xml:space="preserve">13 open or awaiting owner action = 3 business decisions (CR-25, CR-27, CR-28) + 2 awaiting SRS-owner confirmation (CR-22, CR-23) + 1 corrected in stories with SRS documentation fix pending (CR-24) + 5 SRS corrections/decisions (CR-46 to CR-50)</t>
  </si>
  <si>
    <t xml:space="preserve">CL-176</t>
  </si>
  <si>
    <t xml:space="preserve">13 open or awaiting owner action = 3 business decisions (CR-25, CR-27, CR-28) + 2 awaiting SRS-owner confirmation (CR-22, CR-23) + 1 corrected in stories with SRS documentation fix pending (CR-24) + 5 SRS corrections/decisions (CR-46 to CR-50) + 2 epic-level items (CR-66 follows CR-46; CR-68 backup retention)</t>
  </si>
  <si>
    <t xml:space="preserve">CL-177</t>
  </si>
  <si>
    <t xml:space="preserve">Stories reviewed</t>
  </si>
  <si>
    <t xml:space="preserve">119 (Normal User 36, Disaster Management 41, Application Management 32, External Parties 10)</t>
  </si>
  <si>
    <t xml:space="preserve">119 stories in 16 epics (Normal User 36, Disaster Management 41, Application Management 32, External Parties 10)</t>
  </si>
  <si>
    <t xml:space="preserve">CL-178</t>
  </si>
  <si>
    <t xml:space="preserve">A41:C41</t>
  </si>
  <si>
    <t xml:space="preserve">16 epics (E01-E16) group the 119 stories; sheet Epics counts stories per epic and sprint with formulas and checks the to</t>
  </si>
  <si>
    <t xml:space="preserve">CL-179</t>
  </si>
  <si>
    <t xml:space="preserve">Cross-epic conflicts</t>
  </si>
  <si>
    <t xml:space="preserve">A42:C42</t>
  </si>
  <si>
    <t xml:space="preserve">CR-57 to CR-68: 10 resolved (staged delivery, shared component, privacy design rule), 2 open (CR-66, CR-68). Total confl</t>
  </si>
  <si>
    <t xml:space="preserve">Affected story IDs</t>
  </si>
  <si>
    <t xml:space="preserve">Category</t>
  </si>
  <si>
    <t xml:space="preserve">Severity</t>
  </si>
  <si>
    <t xml:space="preserve">Terminology / state mismatch</t>
  </si>
  <si>
    <t xml:space="preserve">Aid stage list omitted Pending Verification and Rejected, which SRS 7.4 defines before allocation.</t>
  </si>
  <si>
    <t xml:space="preserve">Medium</t>
  </si>
  <si>
    <t xml:space="preserve">Stage list in front of card aligned to SRS 7.4.</t>
  </si>
  <si>
    <t xml:space="preserve">Missing criterion</t>
  </si>
  <si>
    <t xml:space="preserve">Criteria did not state that responses are accepted only in Needs Information, or that an expired response window is refused (NU-FR-11).</t>
  </si>
  <si>
    <t xml:space="preserve">Criterion added.</t>
  </si>
  <si>
    <t xml:space="preserve">US-N19; US-N18; US-N35</t>
  </si>
  <si>
    <t xml:space="preserve">FR/story priority conflict</t>
  </si>
  <si>
    <t xml:space="preserve">Core retry story (EH-12, NU-NFR-08) was sourced first to Optional NU-FR-13; the idempotency criterion is described only inside NU-FR-13.</t>
  </si>
  <si>
    <t xml:space="preserve">Core retry safety anchored in SRS 15.1 (Idempotency-Key required on POST /incidents) and 13.6; criterion added to US-N19. Optional draft parts remain governed by CR-28.</t>
  </si>
  <si>
    <t xml:space="preserve">Business-rule conflict</t>
  </si>
  <si>
    <t xml:space="preserve">Criterion said targets are "set"; SRS says every target is only proposed until a named approver approves it.</t>
  </si>
  <si>
    <t xml:space="preserve">Low</t>
  </si>
  <si>
    <t xml:space="preserve">Criterion reworded.</t>
  </si>
  <si>
    <t xml:space="preserve">US-N33; US-A13</t>
  </si>
  <si>
    <t xml:space="preserve">No story required the user-facing message that hides the threshold and points to an emergency alternative (AM-FR-11, SRS 7.10, EH-18).</t>
  </si>
  <si>
    <t xml:space="preserve">Criterion added to US-N33. US-A13 already covers non-disclosure of thresholds.</t>
  </si>
  <si>
    <t xml:space="preserve">US-N36; US-N20</t>
  </si>
  <si>
    <t xml:space="preserve">Inconsistent acceptance criteria</t>
  </si>
  <si>
    <t xml:space="preserve">"Requests complete within retention limits" contradicts AM-FR-13/EH-26, where a request can be refused and a failed deletion must never be reported as done.</t>
  </si>
  <si>
    <t xml:space="preserve">Criterion corrected.</t>
  </si>
  <si>
    <t xml:space="preserve">Dispatch completion is never inferred (SRS 7.5); not captured.</t>
  </si>
  <si>
    <t xml:space="preserve">Reopening a closed incident needs the same permission and is audited (SRS 7.8); not captured.</t>
  </si>
  <si>
    <t xml:space="preserve">Scanner outage must keep items Pending, never Approved (SRS 7.7, AM-FR-12).</t>
  </si>
  <si>
    <t xml:space="preserve">Traceability gap</t>
  </si>
  <si>
    <t xml:space="preserve">Story covers rate-limited submissions and backlog but omitted AM-FR-11 and AM-FR-12 as sources.</t>
  </si>
  <si>
    <t xml:space="preserve">Sources and Coverage sheet updated.</t>
  </si>
  <si>
    <t xml:space="preserve">Configuration scope includes abuse thresholds and moderation policy, governed by AM-FR-11/12, but only AM-FR-03 was cited.</t>
  </si>
  <si>
    <t xml:space="preserve">Unsupported traceability link</t>
  </si>
  <si>
    <t xml:space="preserve">AM-FR-05 (Logging and Audit) was cited for the traceability story; the SRS gives AM-NFR-15 no FR.</t>
  </si>
  <si>
    <t xml:space="preserve">FR link removed, marked NFR-only, Coverage sheet updated.</t>
  </si>
  <si>
    <t xml:space="preserve">AM-NFR-06 (second approver for critical changes) was not cited.</t>
  </si>
  <si>
    <t xml:space="preserve">NFR column and Coverage sheet updated.</t>
  </si>
  <si>
    <t xml:space="preserve">Business-rule / workflow conflict</t>
  </si>
  <si>
    <t xml:space="preserve">Wording implied the agency sends the acknowledgement; SRS says agencies have no login and responses are recorded by staff or a trusted integration.</t>
  </si>
  <si>
    <t xml:space="preserve">Criterion added stating who records it.</t>
  </si>
  <si>
    <t xml:space="preserve">US-D12; US-D38</t>
  </si>
  <si>
    <t xml:space="preserve">Duplicate story</t>
  </si>
  <si>
    <t xml:space="preserve">Both describe escalation of an unacknowledged dispatch to a supervisor-permission holder (US-D38 is the NFR-framed twin).</t>
  </si>
  <si>
    <t xml:space="preserve">US-D38 now states it is the verification companion of US-D12; IDs and traceability preserved. Retirement of either ID is a team choice, not required.</t>
  </si>
  <si>
    <t xml:space="preserve">Resolved – cross-referenced (IDs preserved)</t>
  </si>
  <si>
    <t xml:space="preserve">US-N18; US-N35</t>
  </si>
  <si>
    <t xml:space="preserve">Both describe the "Not yet sent" browser draft.</t>
  </si>
  <si>
    <t xml:space="preserve">US-N35 marked companion of US-N18; IDs preserved.</t>
  </si>
  <si>
    <t xml:space="preserve">US-N20; US-N36</t>
  </si>
  <si>
    <t xml:space="preserve">Both cover export/deletion requests (Optional).</t>
  </si>
  <si>
    <t xml:space="preserve">US-N36 marked companion of US-N20; IDs preserved. Adoption itself stays under CR-27.</t>
  </si>
  <si>
    <t xml:space="preserve">US-N13; US-N29</t>
  </si>
  <si>
    <t xml:space="preserve">Both cover duplicate-charge prevention and honest donation state.</t>
  </si>
  <si>
    <t xml:space="preserve">US-N29 marked companion of US-N13 (functional state rules live in US-N13); IDs preserved.</t>
  </si>
  <si>
    <t xml:space="preserve">US-A11; US-A24</t>
  </si>
  <si>
    <t xml:space="preserve">Both cover notification retry and in-app fallback.</t>
  </si>
  <si>
    <t xml:space="preserve">US-A24 marked companion of US-A11; IDs preserved.</t>
  </si>
  <si>
    <t xml:space="preserve">US-A12; US-A23</t>
  </si>
  <si>
    <t xml:space="preserve">Both cover payment gateway monitoring and reconciliation.</t>
  </si>
  <si>
    <t xml:space="preserve">US-A23 marked companion of US-A12; IDs preserved.</t>
  </si>
  <si>
    <t xml:space="preserve">US-D15; US-D21; US-D40</t>
  </si>
  <si>
    <t xml:space="preserve">Overlapping stories</t>
  </si>
  <si>
    <t xml:space="preserve">Three stories overlap on publishing and approval; criteria are compatible.</t>
  </si>
  <si>
    <t xml:space="preserve">US-D40 marked companion of US-D15 and US-D21; the two functional stories cover different FRs (DM-FR-11 updates, DM-FR-17 safety content), so no merge is justified.</t>
  </si>
  <si>
    <t xml:space="preserve">US-D11; US-D12; US-D38</t>
  </si>
  <si>
    <t xml:space="preserve">SRS-level ambiguity</t>
  </si>
  <si>
    <t xml:space="preserve">US-D11; US-X02; US-X03</t>
  </si>
  <si>
    <t xml:space="preserve">SRS-level gap</t>
  </si>
  <si>
    <t xml:space="preserve">SRS 7.5 flow includes Completed and Failed dispatch states that are absent from DM-FR-09 and the state list in Section 3.</t>
  </si>
  <si>
    <t xml:space="preserve">Completed and Failed added to US-D11 from SRS 7.5 Flow and s.15.4 (/completion). DM-FR-09 text and the Section 3 state list still omit Completed; SRS owner should align them.</t>
  </si>
  <si>
    <t xml:space="preserve">US-N24; US-N32; US-D28; US-A18</t>
  </si>
  <si>
    <t xml:space="preserve">Open SRS decision</t>
  </si>
  <si>
    <t xml:space="preserve">Open – business approval required (not changed)</t>
  </si>
  <si>
    <t xml:space="preserve">US-D17; US-D23</t>
  </si>
  <si>
    <t xml:space="preserve">Needs come from Optional DM-FR-19, or direct staff entry under DM-FR-13 (open decision 1).</t>
  </si>
  <si>
    <t xml:space="preserve">Partly resolved – business decision 1 remains open</t>
  </si>
  <si>
    <t xml:space="preserve">US-N20; US-N36; US-A15; US-A32</t>
  </si>
  <si>
    <t xml:space="preserve">Optional data-request set pending adoption (open decision 4).</t>
  </si>
  <si>
    <t xml:space="preserve">Open – business decision 4 (not changed)</t>
  </si>
  <si>
    <t xml:space="preserve">US-N18; US-N19; US-N35</t>
  </si>
  <si>
    <t xml:space="preserve">Optional browser draft pending adoption (open decision 2).</t>
  </si>
  <si>
    <t xml:space="preserve">Open – business decision 2 (not changed)</t>
  </si>
  <si>
    <t xml:space="preserve">US-D22; US-A14; US-A16; US-N01</t>
  </si>
  <si>
    <t xml:space="preserve">Minor criteria gaps</t>
  </si>
  <si>
    <t xml:space="preserve">Not captured: EH-20 alert to moderators and Application Management; AM-FR-14 approval-timeout failure; NU-FR-01 consent input.</t>
  </si>
  <si>
    <t xml:space="preserve">Added: EH-20 alert and 13.12 outcome (US-D22), AM-FR-14 approval-timeout failure (US-A16), NU-FR-01 consent input (US-N01).</t>
  </si>
  <si>
    <t xml:space="preserve">Route POST /auth/password-reset (generic response either way) had no story criterion.</t>
  </si>
  <si>
    <t xml:space="preserve">Criterion added to US-N02.</t>
  </si>
  <si>
    <t xml:space="preserve">Route allowing removal of own evidence before verification had no criterion.</t>
  </si>
  <si>
    <t xml:space="preserve">Criterion added to US-N07.</t>
  </si>
  <si>
    <t xml:space="preserve">Ownership rule (non-owned record returns 404, existence not leaked) not stated.</t>
  </si>
  <si>
    <t xml:space="preserve">Criterion added to US-N08.</t>
  </si>
  <si>
    <t xml:space="preserve">Idempotency-Key is required on POST /aid-contributions; only incidents and donations had retry criteria.</t>
  </si>
  <si>
    <t xml:space="preserve">Criterion added to US-N14.</t>
  </si>
  <si>
    <t xml:space="preserve">Success required only gateway confirmation; scenario 13.3 also requires callback and reference validation.</t>
  </si>
  <si>
    <t xml:space="preserve">CR-35</t>
  </si>
  <si>
    <t xml:space="preserve">Scenario 13.6 requires status checking on retry after a server failure.</t>
  </si>
  <si>
    <t xml:space="preserve">Criterion added to US-N19.</t>
  </si>
  <si>
    <t xml:space="preserve">Scenario 13.7: Needs Information is set with a specific question.</t>
  </si>
  <si>
    <t xml:space="preserve">Release-reservation route had no criterion.</t>
  </si>
  <si>
    <t xml:space="preserve">Criterion added to US-D10.</t>
  </si>
  <si>
    <t xml:space="preserve">US-D11; US-D02</t>
  </si>
  <si>
    <t xml:space="preserve">Scenarios 13.1 and 13.5 (Requested/Waiting, failure handling with retry or reassignment) and the dispatch queue showing escalated items were not captured.</t>
  </si>
  <si>
    <t xml:space="preserve">Criteria added/reworded in US-D11 and US-D02.</t>
  </si>
  <si>
    <t xml:space="preserve">Scenario 13.6 (core): manual acknowledgement recording during integration outage appeared only in Optional US-D41.</t>
  </si>
  <si>
    <t xml:space="preserve">Criterion added to US-D13.</t>
  </si>
  <si>
    <t xml:space="preserve">Public pages /updates and landing page, and GET /public-updates, had no story criterion for public visibility.</t>
  </si>
  <si>
    <t xml:space="preserve">Criterion added to US-D15.</t>
  </si>
  <si>
    <t xml:space="preserve">CR-41</t>
  </si>
  <si>
    <t xml:space="preserve">Aid verify/reject route, Delivered only on authorised receipt confirmation (13.4) and need source were not stated.</t>
  </si>
  <si>
    <t xml:space="preserve">Criteria added to US-D17.</t>
  </si>
  <si>
    <t xml:space="preserve">Scenario 13.13: previous version stays live until the new one is approved.</t>
  </si>
  <si>
    <t xml:space="preserve">Criterion added to US-D21.</t>
  </si>
  <si>
    <t xml:space="preserve">CR-43</t>
  </si>
  <si>
    <t xml:space="preserve">Scenario 13.12: incident continues with remaining evidence after removal.</t>
  </si>
  <si>
    <t xml:space="preserve">Criterion added to US-D22.</t>
  </si>
  <si>
    <t xml:space="preserve">US-D25; US-A13</t>
  </si>
  <si>
    <t xml:space="preserve">Scenario 13.9: duplicates surfaced not deleted; throttle then block with alert; unblock route.</t>
  </si>
  <si>
    <t xml:space="preserve">Criteria added to US-D25 and US-A13.</t>
  </si>
  <si>
    <t xml:space="preserve">Page-route behaviour (login redirect vs 403 page) not stated.</t>
  </si>
  <si>
    <t xml:space="preserve">Criterion added to US-D30.</t>
  </si>
  <si>
    <t xml:space="preserve">US-A03; US-D11; US-D13; US-X02; US-X03; US-X04</t>
  </si>
  <si>
    <t xml:space="preserve">SRS-level conflict</t>
  </si>
  <si>
    <t xml:space="preserve">(SRS s.15.7)</t>
  </si>
  <si>
    <t xml:space="preserve">SRS documentation inconsistency</t>
  </si>
  <si>
    <t xml:space="preserve">US-D21; US-D22</t>
  </si>
  <si>
    <t xml:space="preserve">SRS labelling inconsistency</t>
  </si>
  <si>
    <t xml:space="preserve">US-N19; US-N18</t>
  </si>
  <si>
    <t xml:space="preserve">SRS-level inconsistency</t>
  </si>
  <si>
    <t xml:space="preserve">Not changed: US-N19 is anchored to s.15.1, 13.6 and EH-12. DECISION REQUIRED (SRS owner), proposed correction: cite NU-FR-03, NU-FR-09, NU-FR-10 and EH-12 in s.15.1 and keep NU-FR-13 only for the browser draft.</t>
  </si>
  <si>
    <t xml:space="preserve">Open – SRS correction (not changed)</t>
  </si>
  <si>
    <t xml:space="preserve">NU-FR-15; DM-FR-20; AM-FR-14; DM-NFR-16; AM-NFR-15 (stories US-N21, US-D24, US-A16, US-D41, US-A31)</t>
  </si>
  <si>
    <t xml:space="preserve">Not changed: these stories keep their (Optional) labels. DECISION REQUIRED (SRS owner): add keep/skip decisions for these items or confirm they remain optional extensions outside the four decisions.</t>
  </si>
  <si>
    <t xml:space="preserve">DM-FR-18 added to US-N34 sources; Coverage and Traceability updated.</t>
  </si>
  <si>
    <t xml:space="preserve">Criterion added to US-A13.</t>
  </si>
  <si>
    <t xml:space="preserve">US-D19; US-D30; US-A03</t>
  </si>
  <si>
    <t xml:space="preserve">Terminology inconsistency</t>
  </si>
  <si>
    <t xml:space="preserve">The same permissions were named "closer" (US-A03, Notes, SRS s.1/s.2), "closure" (US-D19, US-D30) and "supervision"/"publishing" (US-D30).</t>
  </si>
  <si>
    <t xml:space="preserve">Aligned to the four documented names: Publisher/Approver, moderator, closer, supervisor. The SRS itself still varies (closer/closure; see CR-46).</t>
  </si>
  <si>
    <t xml:space="preserve">US-D18; US-D37</t>
  </si>
  <si>
    <t xml:space="preserve">US-D37 reworded: Out of Scope and unknown records appear only as separate counts.</t>
  </si>
  <si>
    <t xml:space="preserve">Notes 8; Summary V10</t>
  </si>
  <si>
    <t xml:space="preserve">Stale review text</t>
  </si>
  <si>
    <t xml:space="preserve">Notes 8 gave three business decisions and three SRS inconsistencies; Summary V10 limited open items to CR-25 to CR-28 and CR-46 to CR-48. The register now has four decisions and open items CR-22 to CR-28 and CR-46 to CR-50.</t>
  </si>
  <si>
    <t xml:space="preserve">Both texts corrected.</t>
  </si>
  <si>
    <t xml:space="preserve">US-N21 and the other 11 Optional stories</t>
  </si>
  <si>
    <t xml:space="preserve">Missing count / cross-file mismatch</t>
  </si>
  <si>
    <t xml:space="preserve">The workbook never stated how many stories are Optional. Twelve carry (Optional): N18, N20, N21, N35, N36, D23, D24, D41, A15, A16, A31, A32. The sprint plan counted 11 and scheduled US-N21 as a firm S4 story.</t>
  </si>
  <si>
    <t xml:space="preserve">Count recorded in the Summary; the sprint plan now holds all 12 as conditional (107 scheduled + 12 conditional).</t>
  </si>
  <si>
    <t xml:space="preserve">E05 (US-D02, US-D26, S2) vs E06/E07/E08 (S3)</t>
  </si>
  <si>
    <t xml:space="preserve">Cross-epic dependency</t>
  </si>
  <si>
    <t xml:space="preserve">Two-part delivery: S2 shows incidents, moderation queue and verification actions; priority, map and dispatch panels are added in S3.</t>
  </si>
  <si>
    <t xml:space="preserve">E04 (US-N17, S2) vs E08 (US-D11, S3)</t>
  </si>
  <si>
    <t xml:space="preserve">Withdrawal works in S2; the lock is switched on when US-D11 lands in S3 and is tested then.</t>
  </si>
  <si>
    <t xml:space="preserve">E04/E05 (US-N08, US-N30, US-D31, S2) vs E12 (US-D19, S5)</t>
  </si>
  <si>
    <t xml:space="preserve">Staged: states and timeline exist in S2; closure content is completed with US-D19 in S5.</t>
  </si>
  <si>
    <t xml:space="preserve">E02 (US-A07, US-A25, S1) vs E03, E08, E12</t>
  </si>
  <si>
    <t xml:space="preserve">The audit log must record events from features built in later sprints (moderation S2, agency acknowledgements S3, closures S5).</t>
  </si>
  <si>
    <t xml:space="preserve">Audit event types are registered as each epic lands; each epic tests its own audit events.</t>
  </si>
  <si>
    <t xml:space="preserve">E03 (US-A13, S1) vs E04, E09</t>
  </si>
  <si>
    <t xml:space="preserve">S1 covers sign-up, login and reporting; limits for uploads (S2) and donations (S4) are added in those sprints.</t>
  </si>
  <si>
    <t xml:space="preserve">E03 (US-D22, US-D25, S2) vs E11 (US-N21, Optional)</t>
  </si>
  <si>
    <t xml:space="preserve">US-D22 and US-D25 work on rate-limited submissions and flagged evidence without US-N21; flagged text is added only if US-N21 is adopted (CR-50).</t>
  </si>
  <si>
    <t xml:space="preserve">E05 (US-D03, S2) vs E14 (US-D36, S5)</t>
  </si>
  <si>
    <t xml:space="preserve">Basic stale-update refusal in S2; full concurrency verification in S5.</t>
  </si>
  <si>
    <t xml:space="preserve">E13 (US-N10, S3) vs E09 (S4)</t>
  </si>
  <si>
    <t xml:space="preserve">S3 delivers alerts for reports; transaction alerts are added in S4.</t>
  </si>
  <si>
    <t xml:space="preserve">E04 (US-N19, S2) vs E09 (US-N29, S4)</t>
  </si>
  <si>
    <t xml:space="preserve">Duplicate mechanism</t>
  </si>
  <si>
    <t xml:space="preserve">One shared idempotency component is built in S2 for N19 and reused in S4; payment adds signed-callback and reference validation.</t>
  </si>
  <si>
    <t xml:space="preserve">E01 (US-A03, S1) vs E08 (US-D11, US-D13, US-D14, S3)</t>
  </si>
  <si>
    <t xml:space="preserve">Permission model</t>
  </si>
  <si>
    <t xml:space="preserve">Build on the four documented permissions; SRS owner decides before S1 whether a fifth exists.</t>
  </si>
  <si>
    <t xml:space="preserve">Open – SRS owner decision (see CR-46)</t>
  </si>
  <si>
    <t xml:space="preserve">E09 (US-D16, US-A12, S4) and E12 (US-D18, S5) vs US-N31</t>
  </si>
  <si>
    <t xml:space="preserve">Privacy across epics</t>
  </si>
  <si>
    <t xml:space="preserve">Design rule: analytics report aggregates only and monitoring follows US-N31 privacy rules; the S5 privacy test (NU-NFR-05) checks it.</t>
  </si>
  <si>
    <t xml:space="preserve">E14 (US-A10, US-A21, S3/S5) vs E16 (US-A08, S4; US-N20, US-N36, US-A32 Optional)</t>
  </si>
  <si>
    <t xml:space="preserve">Data retention</t>
  </si>
  <si>
    <t xml:space="preserve">Restore drill must reapply retention and deletion; the backup retention period is TBD and is decided with CR-25 (recovery plan) and CR-27/CR-50 (data rights).</t>
  </si>
  <si>
    <t xml:space="preserve">Open – owner decision (CR-25, CR-27, CR-50)</t>
  </si>
  <si>
    <t xml:space="preserve">Name</t>
  </si>
  <si>
    <t xml:space="preserve">Linked stories (after corrections)</t>
  </si>
  <si>
    <t xml:space="preserve">Registration and Login</t>
  </si>
  <si>
    <t xml:space="preserve">Consent input (CR-29) and password reset route (CR-30) added.</t>
  </si>
  <si>
    <t xml:space="preserve">Profile Management</t>
  </si>
  <si>
    <t xml:space="preserve">Incident Reporting</t>
  </si>
  <si>
    <t xml:space="preserve">Resolved. Optional NU-FR-13 stays pending (CR-28).</t>
  </si>
  <si>
    <t xml:space="preserve">Location and Details</t>
  </si>
  <si>
    <t xml:space="preserve">Evidence Upload</t>
  </si>
  <si>
    <t xml:space="preserve">Report Tracking, History and Receipts</t>
  </si>
  <si>
    <t xml:space="preserve">US-N08 updated (CR-32).</t>
  </si>
  <si>
    <t xml:space="preserve">Alerts and Notifications</t>
  </si>
  <si>
    <t xml:space="preserve">Safety Information</t>
  </si>
  <si>
    <t xml:space="preserve">Monetary Donations</t>
  </si>
  <si>
    <t xml:space="preserve">US-N13 updated (CR-34); US-N29 updated (CR-18).</t>
  </si>
  <si>
    <t xml:space="preserve">Physical Aid Contribution</t>
  </si>
  <si>
    <t xml:space="preserve">Stage wording corrected in US-N15 (CR-01). Also: US-N14 updated (CR-33).</t>
  </si>
  <si>
    <t xml:space="preserve">Respond to Information Requests</t>
  </si>
  <si>
    <t xml:space="preserve">Needs Information precondition and expired window added to US-N16 (CR-02). Also: US-D04 updated (CR-36).</t>
  </si>
  <si>
    <t xml:space="preserve">Withdraw or Update Own Report</t>
  </si>
  <si>
    <t xml:space="preserve">Browser Draft and Safe Retry (Optional)</t>
  </si>
  <si>
    <t xml:space="preserve">Optional; adoption pending (open decision 2). US-N35 is now a companion of US-N18 (CR-16); core retry safety no longer depends on it (CR-03).</t>
  </si>
  <si>
    <t xml:space="preserve">Data Export and Deletion Request (Optional)</t>
  </si>
  <si>
    <t xml:space="preserve">Optional; adoption pending (open decision 4). US-N36 is now a companion of US-N20 (CR-17).</t>
  </si>
  <si>
    <t xml:space="preserve">Flag Published or Shared Content (Optional)</t>
  </si>
  <si>
    <t xml:space="preserve">Covered (Optional)</t>
  </si>
  <si>
    <t xml:space="preserve">Staff Login</t>
  </si>
  <si>
    <t xml:space="preserve">Incident Dashboard</t>
  </si>
  <si>
    <t xml:space="preserve">US-D02 updated (CR-38).</t>
  </si>
  <si>
    <t xml:space="preserve">Review and Verification</t>
  </si>
  <si>
    <t xml:space="preserve">US-D04 updated (CR-36).</t>
  </si>
  <si>
    <t xml:space="preserve">Duplicate Detection</t>
  </si>
  <si>
    <t xml:space="preserve">AI Classification and Triage</t>
  </si>
  <si>
    <t xml:space="preserve">Prioritisation</t>
  </si>
  <si>
    <t xml:space="preserve">Mapping</t>
  </si>
  <si>
    <t xml:space="preserve">Resource Coordination</t>
  </si>
  <si>
    <t xml:space="preserve">US-D10 updated (CR-37).</t>
  </si>
  <si>
    <t xml:space="preserve">Dispatch</t>
  </si>
  <si>
    <t xml:space="preserve">Inter-Agency Communication</t>
  </si>
  <si>
    <t xml:space="preserve">Verified Public Updates</t>
  </si>
  <si>
    <t xml:space="preserve">US-D15 updated (CR-40); US-D40 updated (CR-21).</t>
  </si>
  <si>
    <t xml:space="preserve">Donation and Aid Oversight</t>
  </si>
  <si>
    <t xml:space="preserve">Aid Allocation</t>
  </si>
  <si>
    <t xml:space="preserve">US-D17 updated (CR-26, CR-41).</t>
  </si>
  <si>
    <t xml:space="preserve">Analytics</t>
  </si>
  <si>
    <t xml:space="preserve">Incident Closure</t>
  </si>
  <si>
    <t xml:space="preserve">Campaign Management</t>
  </si>
  <si>
    <t xml:space="preserve">Safety Content Authoring and Approval</t>
  </si>
  <si>
    <t xml:space="preserve">Evidence and Content Moderation</t>
  </si>
  <si>
    <t xml:space="preserve">Needs Management (Optional)</t>
  </si>
  <si>
    <t xml:space="preserve">Optional; adoption pending (open decision 1). US-D17 now states needs come from DM-FR-19 where adopted, otherwise direct entry (CR-26).</t>
  </si>
  <si>
    <t xml:space="preserve">Agency Directory (Optional)</t>
  </si>
  <si>
    <t xml:space="preserve">Administrator Login</t>
  </si>
  <si>
    <t xml:space="preserve">Account and Role Management</t>
  </si>
  <si>
    <t xml:space="preserve">Configuration Management</t>
  </si>
  <si>
    <t xml:space="preserve">US-A30 reconciled with fixed roles: only account-to-role/permission assignment is versioned and reversible (CR-23).</t>
  </si>
  <si>
    <t xml:space="preserve">System Monitoring</t>
  </si>
  <si>
    <t xml:space="preserve">Logging and Audit</t>
  </si>
  <si>
    <t xml:space="preserve">Unsupported link from US-A31 removed (CR-12).</t>
  </si>
  <si>
    <t xml:space="preserve">Data Management</t>
  </si>
  <si>
    <t xml:space="preserve">Security Management</t>
  </si>
  <si>
    <t xml:space="preserve">Backup and Recovery</t>
  </si>
  <si>
    <t xml:space="preserve">Notification Configuration</t>
  </si>
  <si>
    <t xml:space="preserve">US-A24 updated (CR-19).</t>
  </si>
  <si>
    <t xml:space="preserve">Payment Integration Monitoring</t>
  </si>
  <si>
    <t xml:space="preserve">US-A23 updated (CR-20).</t>
  </si>
  <si>
    <t xml:space="preserve">Abuse and Rate-Limit Controls</t>
  </si>
  <si>
    <t xml:space="preserve">Moderation Configuration</t>
  </si>
  <si>
    <t xml:space="preserve">Links added for US-D25 and US-A17 (CR-10, CR-11). Also: US-D25 updated (CR-44).</t>
  </si>
  <si>
    <t xml:space="preserve">Data-Request Oversight (Optional)</t>
  </si>
  <si>
    <t xml:space="preserve">Optional; adoption pending (open decision 4).</t>
  </si>
  <si>
    <t xml:space="preserve">Configuration Approval (Optional)</t>
  </si>
  <si>
    <t xml:space="preserve">Resolved; adoption of the Optional FR unchanged.</t>
  </si>
  <si>
    <t xml:space="preserve">Usability</t>
  </si>
  <si>
    <t xml:space="preserve">Accessibility</t>
  </si>
  <si>
    <t xml:space="preserve">Performance</t>
  </si>
  <si>
    <t xml:space="preserve">Targets proposed only until the [named approver] is named (CR-25). Confirmed in this pass: SRS s.2, s.8–10 and s.14 give no approver and no values; business approval is required.</t>
  </si>
  <si>
    <t xml:space="preserve">Availability</t>
  </si>
  <si>
    <t xml:space="preserve">No numeric availability target stated by the SRS. Confirmed in this pass: SRS s.2, s.8–10 and s.14 give no approver and no values; business approval is required.</t>
  </si>
  <si>
    <t xml:space="preserve">Privacy</t>
  </si>
  <si>
    <t xml:space="preserve">Compatibility</t>
  </si>
  <si>
    <t xml:space="preserve">Payment security</t>
  </si>
  <si>
    <t xml:space="preserve">Transaction reliability</t>
  </si>
  <si>
    <t xml:space="preserve">US-N13 updated (CR-34); US-N19 updated (CR-03, CR-35); US-N29 updated (CR-18).</t>
  </si>
  <si>
    <t xml:space="preserve">Transparency</t>
  </si>
  <si>
    <t xml:space="preserve">US-N08 updated (CR-32); US-N13 updated (CR-34); US-N14 updated (CR-33).</t>
  </si>
  <si>
    <t xml:space="preserve">Donor privacy</t>
  </si>
  <si>
    <t xml:space="preserve">Timeliness</t>
  </si>
  <si>
    <t xml:space="preserve">Targets require approval; [named approver] unnamed (CR-25). Confirmed in this pass: SRS s.2, s.8–10 and s.14 give no approver and no values; business approval is required.</t>
  </si>
  <si>
    <t xml:space="preserve">Abuse resistance</t>
  </si>
  <si>
    <t xml:space="preserve">Emergency-alternative message added to US-N33 (CR-05). Also: US-N01 updated (CR-29); US-N02 updated (CR-30).</t>
  </si>
  <si>
    <t xml:space="preserve">Content safety</t>
  </si>
  <si>
    <t xml:space="preserve">Offline draft</t>
  </si>
  <si>
    <t xml:space="preserve">Optional; adoption pending (open decision 2). Also: US-N35 updated (CR-16).</t>
  </si>
  <si>
    <t xml:space="preserve">Data retention and user rights</t>
  </si>
  <si>
    <t xml:space="preserve">Optional; adoption pending (open decision 4). Also: US-N36 updated (CR-17).</t>
  </si>
  <si>
    <t xml:space="preserve">Approved operational load not yet defined (CR-25). Also: US-D02 updated (CR-38). Confirmed in this pass: SRS s.2, s.8–10 and s.14 give no approver and no values; business approval is required.</t>
  </si>
  <si>
    <t xml:space="preserve">Role-based access</t>
  </si>
  <si>
    <t xml:space="preserve">US-D04 updated (CR-36); US-D30 updated (CR-45).</t>
  </si>
  <si>
    <t xml:space="preserve">Auditability</t>
  </si>
  <si>
    <t xml:space="preserve">Interoperability</t>
  </si>
  <si>
    <t xml:space="preserve">US-D13 updated (CR-39).</t>
  </si>
  <si>
    <t xml:space="preserve">Resilience</t>
  </si>
  <si>
    <t xml:space="preserve">AI explainability</t>
  </si>
  <si>
    <t xml:space="preserve">Human oversight</t>
  </si>
  <si>
    <t xml:space="preserve">Data integrity</t>
  </si>
  <si>
    <t xml:space="preserve">US-D10 updated (CR-37); US-D17 updated (CR-26, CR-41).</t>
  </si>
  <si>
    <t xml:space="preserve">Analytics transparency</t>
  </si>
  <si>
    <t xml:space="preserve">Dispatch timeliness and escalation</t>
  </si>
  <si>
    <t xml:space="preserve">US-D11 updated (CR-22, CR-24, CR-38); US-D12 updated (CR-22); US-D38 updated (CR-15).</t>
  </si>
  <si>
    <t xml:space="preserve">Abuse and moderation handling</t>
  </si>
  <si>
    <t xml:space="preserve">US-D25 source links completed (CR-10). Also: US-D22 updated (CR-29, CR-43); US-D25 updated (CR-44).</t>
  </si>
  <si>
    <t xml:space="preserve">Content authority</t>
  </si>
  <si>
    <t xml:space="preserve">US-D15 updated (CR-40); US-D21 updated (CR-42); US-D40 updated (CR-21).</t>
  </si>
  <si>
    <t xml:space="preserve">Operational continuity</t>
  </si>
  <si>
    <t xml:space="preserve">Maintainability</t>
  </si>
  <si>
    <t xml:space="preserve">US-A17 source links completed (CR-11).</t>
  </si>
  <si>
    <t xml:space="preserve">Scalability</t>
  </si>
  <si>
    <t xml:space="preserve">Approved capacity assumptions not yet defined (CR-25). Confirmed in this pass: SRS s.2, s.8–10 and s.14 give no approver and no values; business approval is required.</t>
  </si>
  <si>
    <t xml:space="preserve">Monitoring</t>
  </si>
  <si>
    <t xml:space="preserve">Backup and recovery</t>
  </si>
  <si>
    <t xml:space="preserve">Approved recovery plan not yet defined (CR-25). Confirmed in this pass: SRS s.2, s.8–10 and s.14 give no approver and no values; business approval is required.</t>
  </si>
  <si>
    <t xml:space="preserve">Security</t>
  </si>
  <si>
    <t xml:space="preserve">US-A16 link added (CR-13). Also: US-A16 updated (CR-29); US-A30 updated (CR-23).</t>
  </si>
  <si>
    <t xml:space="preserve">Payment integration monitoring</t>
  </si>
  <si>
    <t xml:space="preserve">Notification reliability</t>
  </si>
  <si>
    <t xml:space="preserve">Compatibility and interoperability</t>
  </si>
  <si>
    <t xml:space="preserve">Compliance</t>
  </si>
  <si>
    <t xml:space="preserve">US-A13 updated (CR-44).</t>
  </si>
  <si>
    <t xml:space="preserve">Configuration governance</t>
  </si>
  <si>
    <t xml:space="preserve">US-A30 reconciled with fixed roles; AM-FR-02 and AM-NFR-06 linked (CR-23).</t>
  </si>
  <si>
    <t xml:space="preserve">Traceability</t>
  </si>
  <si>
    <t xml:space="preserve">Open: decide if a supporting FR is wanted.</t>
  </si>
  <si>
    <t xml:space="preserve">Data lifecycle</t>
  </si>
  <si>
    <t xml:space="preserve">Missing fields</t>
  </si>
  <si>
    <t xml:space="preserve">US-N01 updated (CR-29).</t>
  </si>
  <si>
    <t xml:space="preserve">Invalid login</t>
  </si>
  <si>
    <t xml:space="preserve">US-N02 updated (CR-30).</t>
  </si>
  <si>
    <t xml:space="preserve">Unsupported upload</t>
  </si>
  <si>
    <t xml:space="preserve">Duplicate report</t>
  </si>
  <si>
    <t xml:space="preserve">Unverified incident</t>
  </si>
  <si>
    <t xml:space="preserve">AI uncertainty</t>
  </si>
  <si>
    <t xml:space="preserve">Failed donation</t>
  </si>
  <si>
    <t xml:space="preserve">Pending donation</t>
  </si>
  <si>
    <t xml:space="preserve">Gateway outage</t>
  </si>
  <si>
    <t xml:space="preserve">US-N13 updated (CR-34); US-A23 updated (CR-20).</t>
  </si>
  <si>
    <t xml:space="preserve">Invalid or unavailable aid</t>
  </si>
  <si>
    <t xml:space="preserve">US-N14 updated (CR-33); US-D17 updated (CR-26, CR-41).</t>
  </si>
  <si>
    <t xml:space="preserve">Unauthorised access</t>
  </si>
  <si>
    <t xml:space="preserve">US-N08 updated (CR-32); US-D30 updated (CR-45).</t>
  </si>
  <si>
    <t xml:space="preserve">Server or network failure</t>
  </si>
  <si>
    <t xml:space="preserve">US-N19 updated (CR-03, CR-35); US-D11 updated (CR-22, CR-24, CR-38).</t>
  </si>
  <si>
    <t xml:space="preserve">Failed notification</t>
  </si>
  <si>
    <t xml:space="preserve">Failed aid delivery</t>
  </si>
  <si>
    <t xml:space="preserve">Dispatch timeout</t>
  </si>
  <si>
    <t xml:space="preserve">US-D11/US-D12 now state that Escalated marks a dispatch that stays unacknowledged (CR-22).</t>
  </si>
  <si>
    <t xml:space="preserve">Dispatch rejected</t>
  </si>
  <si>
    <t xml:space="preserve">US-D11 updated (CR-22, CR-24, CR-38); US-D13 updated (CR-39).</t>
  </si>
  <si>
    <t xml:space="preserve">Late or conflicting acknowledgement</t>
  </si>
  <si>
    <t xml:space="preserve">Submission flood</t>
  </si>
  <si>
    <t xml:space="preserve">Emergency-alternative message added to US-N33 (CR-05). Also: US-D25 updated (CR-44); US-A13 updated (CR-44).</t>
  </si>
  <si>
    <t xml:space="preserve">Automated abuse</t>
  </si>
  <si>
    <t xml:space="preserve">US-N02 updated (CR-30); US-A13 updated (CR-44).</t>
  </si>
  <si>
    <t xml:space="preserve">Unsafe content detected</t>
  </si>
  <si>
    <t xml:space="preserve">Alert to moderators and Application Management added to US-D22 (CR-29).</t>
  </si>
  <si>
    <t xml:space="preserve">Moderation backlog</t>
  </si>
  <si>
    <t xml:space="preserve">Scanner-outage behaviour added to US-D22 (CR-09). Also: US-D22 updated (CR-29, CR-43); US-D25 updated (CR-44).</t>
  </si>
  <si>
    <t xml:space="preserve">Unauthorised publish</t>
  </si>
  <si>
    <t xml:space="preserve">Invalid closure</t>
  </si>
  <si>
    <t xml:space="preserve">Rejected configuration change</t>
  </si>
  <si>
    <t xml:space="preserve">US-A16 updated (CR-29); US-A30 updated (CR-23).</t>
  </si>
  <si>
    <t xml:space="preserve">Unsupported scenario</t>
  </si>
  <si>
    <t xml:space="preserve">Data request failure</t>
  </si>
  <si>
    <t xml:space="preserve">Optional; US-N36 criterion corrected (CR-06). Also: US-N36 updated (CR-17).</t>
  </si>
  <si>
    <t xml:space="preserve">Area</t>
  </si>
  <si>
    <t xml:space="preserve">Item</t>
  </si>
  <si>
    <t xml:space="preserve">Scope</t>
  </si>
  <si>
    <t xml:space="preserve">Requirements checked</t>
  </si>
  <si>
    <t xml:space="preserve">Conflicts</t>
  </si>
  <si>
    <t xml:space="preserve">Conflicts / issues recorded</t>
  </si>
  <si>
    <t xml:space="preserve">Partly resolved</t>
  </si>
  <si>
    <t xml:space="preserve">1 (CR-26)</t>
  </si>
  <si>
    <t xml:space="preserve">Requirements with at least one story</t>
  </si>
  <si>
    <t xml:space="preserve">122 of 122; none uncovered</t>
  </si>
  <si>
    <t xml:space="preserve">Coverage gaps closed</t>
  </si>
  <si>
    <t xml:space="preserve">Previous gaps plus this pass: password reset, evidence removal, ownership 404, aid idempotency, dispatch Requested/Waiting and failure handling, manual acknowledgement, public updates, aid verification, version-live rule, abuse escalation, page-route access (CR-30 to CR-45)</t>
  </si>
  <si>
    <t xml:space="preserve">Unresolved</t>
  </si>
  <si>
    <t xml:space="preserve">SRS-level ambiguities</t>
  </si>
  <si>
    <t xml:space="preserve">Awaiting SRS-owner confirmation: Escalated vs EH-15 (CR-22), "role settings" (CR-23). Applied from SRS 7.5/s.15.4, alignment of DM-FR-09 recommended: Completed/Failed (CR-24). Open SRS inconsistencies: fifth "dispatch" permission (CR-46); s.15.7 error mapping (CR-47); Optional labels on 13.12/13.13 (CR-48); mandatory idempotency cites Optional NU-FR-13 (CR-49); optional items without a decision (CR-50)</t>
  </si>
  <si>
    <t xml:space="preserve">Open decisions</t>
  </si>
  <si>
    <t xml:space="preserve">Business owner must decide: named approver and numeric targets (CR-25); DM-FR-19 keep/skip (CR-26, partly resolved); optional data-request set (CR-27); optional browser draft (CR-28). Exact wording is in the Conflict Register</t>
  </si>
  <si>
    <t xml:space="preserve">Duplicate / overlapping stories retained</t>
  </si>
  <si>
    <t xml:space="preserve">CR-15 to CR-21 resolved by cross-reference: twin stories are marked companions; all IDs retained, none merged or deleted</t>
  </si>
  <si>
    <t xml:space="preserve">Low-impact criteria gaps</t>
  </si>
  <si>
    <t xml:space="preserve">CR-29 resolved: EH-20 alert, AM-FR-14 approval timeout, NU-FR-01 consent added</t>
  </si>
  <si>
    <t xml:space="preserve">Limits</t>
  </si>
  <si>
    <t xml:space="preserve">What this review does not claim</t>
  </si>
  <si>
    <t xml:space="preserve">Final verification</t>
  </si>
  <si>
    <t xml:space="preserve">V1. Story IDs and order preserved vs original</t>
  </si>
  <si>
    <t xml:space="preserve">PASS – 119 stories, same IDs and order as the reviewed workbook</t>
  </si>
  <si>
    <t xml:space="preserve">V2. Every requirement reference in stories exists in the SRS</t>
  </si>
  <si>
    <t xml:space="preserve">PASS – none invalid (122 requirement IDs checked)</t>
  </si>
  <si>
    <t xml:space="preserve">V3. Every FR, NFR and error case has at least one story</t>
  </si>
  <si>
    <t xml:space="preserve">PASS – 122 of 122 covered</t>
  </si>
  <si>
    <t xml:space="preserve">V4. Coverage sheet matches story columns exactly</t>
  </si>
  <si>
    <t xml:space="preserve">PASS – Coverage and FR-NFR Traceability links match the story columns exactly</t>
  </si>
  <si>
    <t xml:space="preserve">V5. Optional requirements are labelled "(Optional)" wherever cited</t>
  </si>
  <si>
    <t xml:space="preserve">PASS – all labelled (EH-26 in the error-case column is exempt)</t>
  </si>
  <si>
    <t xml:space="preserve">V6. No core story depends only on Optional FRs</t>
  </si>
  <si>
    <t xml:space="preserve">PASS – none</t>
  </si>
  <si>
    <t xml:space="preserve">V7. No story creates a fourth role, agency login or anonymous reporting</t>
  </si>
  <si>
    <t xml:space="preserve">PASS – only negative statements found (US-A03 "No fourth role"); the fifth "dispatch" permission appears only in the SRS routes and is logged as CR-46, not added to stories</t>
  </si>
  <si>
    <t xml:space="preserve">V8. Every red cell has a Change Log entry (and vice versa)</t>
  </si>
  <si>
    <t xml:space="preserve">PASS – every red cell in the four story sheets, Coverage and Notes has a Change Log entry and vice versa; red cells in the review sheets mark this pass's updates to those sheets</t>
  </si>
  <si>
    <t xml:space="preserve">V9. Merged title rows and freeze panes untouched</t>
  </si>
  <si>
    <t xml:space="preserve">PASS – merged title rows and freeze panes identical to the reviewed workbook</t>
  </si>
  <si>
    <t xml:space="preserve">V10. New criteria checked for conflicts with neighbouring stories (manual review)</t>
  </si>
  <si>
    <t xml:space="preserve">Final pass</t>
  </si>
  <si>
    <t xml:space="preserve">Sections reviewed this pass</t>
  </si>
  <si>
    <t xml:space="preserve">SRS Section 13 (13.1–13.13) and Section 15 (15.1–15.7: conventions, pages, public, DM, admin, integration routes, status codes) against all 119 stories</t>
  </si>
  <si>
    <t xml:space="preserve">Additional corrections</t>
  </si>
  <si>
    <t xml:space="preserve">16 story-gap fixes (CR-30 to CR-45), 7 companion cross-references for the overlapping groups, 3 earlier minor gaps (CR-29), plus the reconciliations of CR-22, CR-23, CR-24 and CR-26</t>
  </si>
  <si>
    <t xml:space="preserve">Needs business approval</t>
  </si>
  <si>
    <t xml:space="preserve">[named approver] and all numeric targets; optional browser draft; optional data-request set; DM-FR-19 keep/skip</t>
  </si>
  <si>
    <t xml:space="preserve">Needs SRS correction</t>
  </si>
  <si>
    <t xml:space="preserve">Fifth "dispatch" permission (CR-46); s.15.7 error mapping (CR-47); Optional labels on 13.12/13.13 (CR-48); Completed missing from Section 3 state list (CR-24)</t>
  </si>
  <si>
    <t xml:space="preserve">v2 pass</t>
  </si>
  <si>
    <t xml:space="preserve">Re-verified</t>
  </si>
  <si>
    <t xml:space="preserve">CR-22, CR-23, CR-25 to CR-28, CR-46 to CR-48 against exact SRS sections; story cells were not changed in this pass</t>
  </si>
  <si>
    <t xml:space="preserve">Status corrections</t>
  </si>
  <si>
    <t xml:space="preserve">CR-22 and CR-23 changed from Resolved to "Applied in stories – SRS-owner confirmation required" (SRS gives no state machine; Section 16 is not in the baseline)</t>
  </si>
  <si>
    <t xml:space="preserve">New SRS-level items</t>
  </si>
  <si>
    <t xml:space="preserve">CR-49 (mandatory idempotency cites Optional NU-FR-13); CR-50 (five optional items without a keep/skip decision)</t>
  </si>
  <si>
    <t xml:space="preserve">v3 pass</t>
  </si>
  <si>
    <t xml:space="preserve">52 issues = 40 resolved + 1 partly resolved + 2 awaiting SRS-owner confirmation + 1 corrected in stories/SRS doc fix pending + 3 business decisions + 5 SRS corrections/decisions. Open or awaiting action: CR-22, CR-23, CR-24, CR-25, CR-26, CR-27, CR-28, CR-46, CR-47, CR-48, CR-49, CR-50</t>
  </si>
  <si>
    <t xml:space="preserve">US-N34 missing DM-FR-18 link (CR-51); US-A13 missing fail-safe criterion (CR-52); CR-24 status wording; CR-46 evidence; stale Summary scope; open register items missing from Traceability notes; row heights</t>
  </si>
  <si>
    <t xml:space="preserve">Minor, not changed</t>
  </si>
  <si>
    <t xml:space="preserve">US-D20 cites DM-NFR-15 (content authority) although the SRS cross-references that NFR to DM-FR-11/17; US-A02 front text says "user accounts" while the route creates staff/admin accounts only; US-D15 omits "source status" from SRS step H; status vocabulary in the register is free text</t>
  </si>
  <si>
    <t xml:space="preserve">v4 pass</t>
  </si>
  <si>
    <t xml:space="preserve">56 issues = 44 resolved + 1 partly resolved + 2 awaiting SRS-owner confirmation + 1 corrected in stories/SRS doc fix pending + 3 business decisions + 5 SRS corrections/decisions. Open or awaiting action is unchanged: CR-22 to CR-28 and CR-46 to CR-50.</t>
  </si>
  <si>
    <t xml:space="preserve">Permission names aligned (CR-53); US-D37 vs US-D18 wording (CR-54); stale Notes 8 and Summary V10 text (CR-55); Optional-story count added (CR-56).</t>
  </si>
  <si>
    <t xml:space="preserve">12 stories carry (Optional): US-N18, N20, N21, N35, N36, D23, D24, D41, A15, A16, A31, A32. The other 107 are core; US-N19, US-A30, US-D25 and US-X01 are core but cite an Optional FR.</t>
  </si>
  <si>
    <t xml:space="preserve">v5 pass</t>
  </si>
  <si>
    <t xml:space="preserve">16 epics (E01-E16) group the 119 stories; sheet Epics counts stories per epic and sprint with formulas and checks the total of 119. Each story sheet has Epic and Sprint columns.</t>
  </si>
  <si>
    <t xml:space="preserve">CR-57 to CR-68: 10 resolved (staged delivery, shared component, privacy design rule), 2 open (CR-66, CR-68). Total conflicts 68 = 54 resolved + 1 partly resolved + 2 awaiting SRS-owner confirmation + 1 corrected pending SRS fix + 3 business decisions + 5 SRS corrections/decisions + 2 epic-level open.</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</si>
</sst>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1F4E79"/>
      <name val="Arial"/>
      <family val="0"/>
      <charset val="1"/>
    </font>
    <font>
      <sz val="10"/>
      <name val="Arial"/>
      <family val="0"/>
      <charset val="1"/>
    </font>
    <font>
      <b val="true"/>
      <sz val="13"/>
      <color rgb="FF1F4E79"/>
      <name val="Arial"/>
      <family val="0"/>
      <charset val="1"/>
    </font>
    <font>
      <b val="true"/>
      <sz val="10"/>
      <name val="Arial"/>
      <family val="0"/>
      <charset val="1"/>
    </font>
    <font>
      <b val="true"/>
      <sz val="11"/>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D6E9F5"/>
        <bgColor rgb="FFBFE4F5"/>
      </patternFill>
    </fill>
    <fill>
      <patternFill patternType="solid">
        <fgColor rgb="FFBFE4F5"/>
        <bgColor rgb="FFD6E9F5"/>
      </patternFill>
    </fill>
    <fill>
      <patternFill patternType="solid">
        <fgColor rgb="FFFF0000"/>
        <bgColor rgb="FF993300"/>
      </patternFill>
    </fill>
    <fill>
      <patternFill patternType="solid">
        <fgColor rgb="FFEAF4FB"/>
        <bgColor rgb="FFD6E9F5"/>
      </patternFill>
    </fill>
  </fills>
  <borders count="3">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5" fontId="6" fillId="0" borderId="2"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fgColor rgb="FFBFE4F5"/>
          <bgColor rgb="FF000000"/>
        </patternFill>
      </fill>
    </dxf>
    <dxf>
      <fill>
        <patternFill patternType="solid">
          <fgColor rgb="FFD6E9F5"/>
          <bgColor rgb="FF000000"/>
        </patternFill>
      </fill>
    </dxf>
    <dxf>
      <fill>
        <patternFill patternType="solid">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6E9F5"/>
      <rgbColor rgb="FF660066"/>
      <rgbColor rgb="FFFF8080"/>
      <rgbColor rgb="FF0066CC"/>
      <rgbColor rgb="FFBFE4F5"/>
      <rgbColor rgb="FF000080"/>
      <rgbColor rgb="FFFF00FF"/>
      <rgbColor rgb="FFFFFF00"/>
      <rgbColor rgb="FF00FFFF"/>
      <rgbColor rgb="FF800080"/>
      <rgbColor rgb="FF800000"/>
      <rgbColor rgb="FF008080"/>
      <rgbColor rgb="FF0000FF"/>
      <rgbColor rgb="FF00CCFF"/>
      <rgbColor rgb="FFEAF4FB"/>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5"/>
    <col collapsed="false" customWidth="true" hidden="false" outlineLevel="0" max="3" min="3" style="1" width="62"/>
    <col collapsed="false" customWidth="true" hidden="false" outlineLevel="0" max="4" min="4" style="1" width="20"/>
    <col collapsed="false" customWidth="true" hidden="false" outlineLevel="0" max="5" min="5" style="1" width="22"/>
    <col collapsed="false" customWidth="true" hidden="false" outlineLevel="0" max="6" min="6" style="1" width="16"/>
    <col collapsed="false" customWidth="true" hidden="false" outlineLevel="0" max="7" min="7" style="0" width="12"/>
    <col collapsed="false" customWidth="true" hidden="false" outlineLevel="0" max="8" min="8" style="0" width="10"/>
  </cols>
  <sheetData>
    <row r="1" customFormat="false" ht="30" hidden="false" customHeight="true" outlineLevel="0" collapsed="false">
      <c r="A1" s="2" t="s">
        <v>0</v>
      </c>
      <c r="B1" s="2"/>
      <c r="C1" s="2"/>
      <c r="D1" s="2"/>
      <c r="E1" s="2"/>
      <c r="F1" s="2"/>
      <c r="G1" s="2"/>
      <c r="H1" s="2"/>
    </row>
    <row r="2" customFormat="false" ht="27.75" hidden="false" customHeight="true" outlineLevel="0" collapsed="false">
      <c r="A2" s="3" t="s">
        <v>1</v>
      </c>
      <c r="B2" s="3" t="s">
        <v>2</v>
      </c>
      <c r="C2" s="3" t="s">
        <v>3</v>
      </c>
      <c r="D2" s="3" t="s">
        <v>4</v>
      </c>
      <c r="E2" s="3" t="s">
        <v>5</v>
      </c>
      <c r="F2" s="3" t="s">
        <v>6</v>
      </c>
      <c r="G2" s="3" t="s">
        <v>7</v>
      </c>
      <c r="H2" s="3" t="s">
        <v>8</v>
      </c>
    </row>
    <row r="3" customFormat="false" ht="69" hidden="false" customHeight="true" outlineLevel="0" collapsed="false">
      <c r="A3" s="4" t="s">
        <v>9</v>
      </c>
      <c r="B3" s="5" t="s">
        <v>10</v>
      </c>
      <c r="C3" s="6" t="s">
        <v>11</v>
      </c>
      <c r="D3" s="5" t="s">
        <v>12</v>
      </c>
      <c r="E3" s="5" t="s">
        <v>13</v>
      </c>
      <c r="F3" s="5" t="s">
        <v>14</v>
      </c>
      <c r="G3" s="7" t="s">
        <v>15</v>
      </c>
      <c r="H3" s="7" t="s">
        <v>16</v>
      </c>
    </row>
    <row r="4" customFormat="false" ht="81.75" hidden="false" customHeight="true" outlineLevel="0" collapsed="false">
      <c r="A4" s="8" t="s">
        <v>17</v>
      </c>
      <c r="B4" s="9" t="s">
        <v>18</v>
      </c>
      <c r="C4" s="6" t="s">
        <v>19</v>
      </c>
      <c r="D4" s="9" t="s">
        <v>12</v>
      </c>
      <c r="E4" s="9" t="s">
        <v>13</v>
      </c>
      <c r="F4" s="9" t="s">
        <v>20</v>
      </c>
      <c r="G4" s="10" t="s">
        <v>15</v>
      </c>
      <c r="H4" s="10" t="s">
        <v>16</v>
      </c>
    </row>
    <row r="5" customFormat="false" ht="60" hidden="false" customHeight="true" outlineLevel="0" collapsed="false">
      <c r="A5" s="4" t="s">
        <v>21</v>
      </c>
      <c r="B5" s="5" t="s">
        <v>22</v>
      </c>
      <c r="C5" s="5" t="s">
        <v>23</v>
      </c>
      <c r="D5" s="5" t="s">
        <v>24</v>
      </c>
      <c r="E5" s="5" t="s">
        <v>25</v>
      </c>
      <c r="F5" s="5" t="s">
        <v>26</v>
      </c>
      <c r="G5" s="7" t="s">
        <v>27</v>
      </c>
      <c r="H5" s="7" t="s">
        <v>28</v>
      </c>
    </row>
    <row r="6" customFormat="false" ht="69" hidden="false" customHeight="true" outlineLevel="0" collapsed="false">
      <c r="A6" s="8" t="s">
        <v>29</v>
      </c>
      <c r="B6" s="9" t="s">
        <v>30</v>
      </c>
      <c r="C6" s="9" t="s">
        <v>31</v>
      </c>
      <c r="D6" s="9" t="s">
        <v>32</v>
      </c>
      <c r="E6" s="9" t="s">
        <v>33</v>
      </c>
      <c r="F6" s="9" t="s">
        <v>34</v>
      </c>
      <c r="G6" s="10" t="s">
        <v>27</v>
      </c>
      <c r="H6" s="10" t="s">
        <v>28</v>
      </c>
    </row>
    <row r="7" customFormat="false" ht="60" hidden="false" customHeight="true" outlineLevel="0" collapsed="false">
      <c r="A7" s="4" t="s">
        <v>35</v>
      </c>
      <c r="B7" s="5" t="s">
        <v>36</v>
      </c>
      <c r="C7" s="5" t="s">
        <v>37</v>
      </c>
      <c r="D7" s="5" t="s">
        <v>32</v>
      </c>
      <c r="E7" s="5" t="s">
        <v>38</v>
      </c>
      <c r="F7" s="5" t="s">
        <v>39</v>
      </c>
      <c r="G7" s="7" t="s">
        <v>27</v>
      </c>
      <c r="H7" s="7" t="s">
        <v>28</v>
      </c>
    </row>
    <row r="8" customFormat="false" ht="60" hidden="false" customHeight="true" outlineLevel="0" collapsed="false">
      <c r="A8" s="8" t="s">
        <v>40</v>
      </c>
      <c r="B8" s="9" t="s">
        <v>41</v>
      </c>
      <c r="C8" s="9" t="s">
        <v>42</v>
      </c>
      <c r="D8" s="9" t="s">
        <v>43</v>
      </c>
      <c r="E8" s="9" t="s">
        <v>44</v>
      </c>
      <c r="F8" s="9" t="s">
        <v>14</v>
      </c>
      <c r="G8" s="10" t="s">
        <v>27</v>
      </c>
      <c r="H8" s="10" t="s">
        <v>28</v>
      </c>
    </row>
    <row r="9" customFormat="false" ht="69" hidden="false" customHeight="true" outlineLevel="0" collapsed="false">
      <c r="A9" s="4" t="s">
        <v>45</v>
      </c>
      <c r="B9" s="5" t="s">
        <v>46</v>
      </c>
      <c r="C9" s="6" t="s">
        <v>47</v>
      </c>
      <c r="D9" s="5" t="s">
        <v>48</v>
      </c>
      <c r="E9" s="5" t="s">
        <v>49</v>
      </c>
      <c r="F9" s="5" t="s">
        <v>50</v>
      </c>
      <c r="G9" s="7" t="s">
        <v>27</v>
      </c>
      <c r="H9" s="7" t="s">
        <v>28</v>
      </c>
    </row>
    <row r="10" customFormat="false" ht="69" hidden="false" customHeight="true" outlineLevel="0" collapsed="false">
      <c r="A10" s="8" t="s">
        <v>51</v>
      </c>
      <c r="B10" s="9" t="s">
        <v>52</v>
      </c>
      <c r="C10" s="6" t="s">
        <v>53</v>
      </c>
      <c r="D10" s="9" t="s">
        <v>54</v>
      </c>
      <c r="E10" s="9" t="s">
        <v>55</v>
      </c>
      <c r="F10" s="9" t="s">
        <v>26</v>
      </c>
      <c r="G10" s="10" t="s">
        <v>27</v>
      </c>
      <c r="H10" s="10" t="s">
        <v>28</v>
      </c>
    </row>
    <row r="11" customFormat="false" ht="60" hidden="false" customHeight="true" outlineLevel="0" collapsed="false">
      <c r="A11" s="4" t="s">
        <v>56</v>
      </c>
      <c r="B11" s="5" t="s">
        <v>57</v>
      </c>
      <c r="C11" s="5" t="s">
        <v>58</v>
      </c>
      <c r="D11" s="5" t="s">
        <v>54</v>
      </c>
      <c r="E11" s="5" t="s">
        <v>59</v>
      </c>
      <c r="F11" s="5" t="s">
        <v>60</v>
      </c>
      <c r="G11" s="7" t="s">
        <v>61</v>
      </c>
      <c r="H11" s="7" t="s">
        <v>62</v>
      </c>
    </row>
    <row r="12" customFormat="false" ht="60" hidden="false" customHeight="true" outlineLevel="0" collapsed="false">
      <c r="A12" s="8" t="s">
        <v>63</v>
      </c>
      <c r="B12" s="9" t="s">
        <v>64</v>
      </c>
      <c r="C12" s="9" t="s">
        <v>65</v>
      </c>
      <c r="D12" s="9" t="s">
        <v>66</v>
      </c>
      <c r="E12" s="9" t="s">
        <v>67</v>
      </c>
      <c r="F12" s="9" t="s">
        <v>68</v>
      </c>
      <c r="G12" s="10" t="s">
        <v>69</v>
      </c>
      <c r="H12" s="10" t="s">
        <v>70</v>
      </c>
    </row>
    <row r="13" customFormat="false" ht="60" hidden="false" customHeight="true" outlineLevel="0" collapsed="false">
      <c r="A13" s="4" t="s">
        <v>71</v>
      </c>
      <c r="B13" s="5" t="s">
        <v>72</v>
      </c>
      <c r="C13" s="5" t="s">
        <v>73</v>
      </c>
      <c r="D13" s="5" t="s">
        <v>74</v>
      </c>
      <c r="E13" s="5" t="s">
        <v>75</v>
      </c>
      <c r="F13" s="5" t="s">
        <v>76</v>
      </c>
      <c r="G13" s="7" t="s">
        <v>77</v>
      </c>
      <c r="H13" s="7" t="s">
        <v>62</v>
      </c>
    </row>
    <row r="14" customFormat="false" ht="60" hidden="false" customHeight="true" outlineLevel="0" collapsed="false">
      <c r="A14" s="8" t="s">
        <v>78</v>
      </c>
      <c r="B14" s="9" t="s">
        <v>79</v>
      </c>
      <c r="C14" s="9" t="s">
        <v>80</v>
      </c>
      <c r="D14" s="9" t="s">
        <v>81</v>
      </c>
      <c r="E14" s="9" t="s">
        <v>82</v>
      </c>
      <c r="F14" s="9" t="s">
        <v>83</v>
      </c>
      <c r="G14" s="10" t="s">
        <v>61</v>
      </c>
      <c r="H14" s="10" t="s">
        <v>62</v>
      </c>
    </row>
    <row r="15" customFormat="false" ht="69" hidden="false" customHeight="true" outlineLevel="0" collapsed="false">
      <c r="A15" s="4" t="s">
        <v>84</v>
      </c>
      <c r="B15" s="5" t="s">
        <v>85</v>
      </c>
      <c r="C15" s="6" t="s">
        <v>86</v>
      </c>
      <c r="D15" s="5" t="s">
        <v>81</v>
      </c>
      <c r="E15" s="5" t="s">
        <v>87</v>
      </c>
      <c r="F15" s="5" t="s">
        <v>88</v>
      </c>
      <c r="G15" s="7" t="s">
        <v>61</v>
      </c>
      <c r="H15" s="7" t="s">
        <v>62</v>
      </c>
    </row>
    <row r="16" customFormat="false" ht="81.75" hidden="false" customHeight="true" outlineLevel="0" collapsed="false">
      <c r="A16" s="8" t="s">
        <v>89</v>
      </c>
      <c r="B16" s="9" t="s">
        <v>90</v>
      </c>
      <c r="C16" s="6" t="s">
        <v>91</v>
      </c>
      <c r="D16" s="9" t="s">
        <v>92</v>
      </c>
      <c r="E16" s="9" t="s">
        <v>55</v>
      </c>
      <c r="F16" s="9" t="s">
        <v>93</v>
      </c>
      <c r="G16" s="10" t="s">
        <v>94</v>
      </c>
      <c r="H16" s="10" t="s">
        <v>62</v>
      </c>
    </row>
    <row r="17" customFormat="false" ht="61.5" hidden="false" customHeight="true" outlineLevel="0" collapsed="false">
      <c r="A17" s="4" t="s">
        <v>95</v>
      </c>
      <c r="B17" s="6" t="s">
        <v>96</v>
      </c>
      <c r="C17" s="5" t="s">
        <v>97</v>
      </c>
      <c r="D17" s="5" t="s">
        <v>92</v>
      </c>
      <c r="E17" s="5" t="s">
        <v>55</v>
      </c>
      <c r="F17" s="5" t="s">
        <v>98</v>
      </c>
      <c r="G17" s="7" t="s">
        <v>94</v>
      </c>
      <c r="H17" s="7" t="s">
        <v>62</v>
      </c>
    </row>
    <row r="18" customFormat="false" ht="102" hidden="false" customHeight="true" outlineLevel="0" collapsed="false">
      <c r="A18" s="8" t="s">
        <v>99</v>
      </c>
      <c r="B18" s="9" t="s">
        <v>100</v>
      </c>
      <c r="C18" s="6" t="s">
        <v>101</v>
      </c>
      <c r="D18" s="9" t="s">
        <v>102</v>
      </c>
      <c r="E18" s="9" t="s">
        <v>103</v>
      </c>
      <c r="F18" s="9" t="s">
        <v>104</v>
      </c>
      <c r="G18" s="10" t="s">
        <v>27</v>
      </c>
      <c r="H18" s="10" t="s">
        <v>28</v>
      </c>
    </row>
    <row r="19" customFormat="false" ht="60" hidden="false" customHeight="true" outlineLevel="0" collapsed="false">
      <c r="A19" s="4" t="s">
        <v>105</v>
      </c>
      <c r="B19" s="5" t="s">
        <v>106</v>
      </c>
      <c r="C19" s="5" t="s">
        <v>107</v>
      </c>
      <c r="D19" s="5" t="s">
        <v>108</v>
      </c>
      <c r="E19" s="5" t="s">
        <v>55</v>
      </c>
      <c r="F19" s="5" t="s">
        <v>26</v>
      </c>
      <c r="G19" s="7" t="s">
        <v>27</v>
      </c>
      <c r="H19" s="7" t="s">
        <v>28</v>
      </c>
    </row>
    <row r="20" customFormat="false" ht="60" hidden="false" customHeight="true" outlineLevel="0" collapsed="false">
      <c r="A20" s="8" t="s">
        <v>109</v>
      </c>
      <c r="B20" s="9" t="s">
        <v>110</v>
      </c>
      <c r="C20" s="9" t="s">
        <v>111</v>
      </c>
      <c r="D20" s="9" t="s">
        <v>112</v>
      </c>
      <c r="E20" s="9" t="s">
        <v>113</v>
      </c>
      <c r="F20" s="9" t="s">
        <v>114</v>
      </c>
      <c r="G20" s="10" t="s">
        <v>27</v>
      </c>
      <c r="H20" s="10" t="s">
        <v>115</v>
      </c>
    </row>
    <row r="21" customFormat="false" ht="69" hidden="false" customHeight="true" outlineLevel="0" collapsed="false">
      <c r="A21" s="4" t="s">
        <v>116</v>
      </c>
      <c r="B21" s="5" t="s">
        <v>117</v>
      </c>
      <c r="C21" s="6" t="s">
        <v>118</v>
      </c>
      <c r="D21" s="6" t="s">
        <v>119</v>
      </c>
      <c r="E21" s="5" t="s">
        <v>120</v>
      </c>
      <c r="F21" s="5" t="s">
        <v>121</v>
      </c>
      <c r="G21" s="7" t="s">
        <v>27</v>
      </c>
      <c r="H21" s="7" t="s">
        <v>28</v>
      </c>
    </row>
    <row r="22" customFormat="false" ht="60" hidden="false" customHeight="true" outlineLevel="0" collapsed="false">
      <c r="A22" s="8" t="s">
        <v>122</v>
      </c>
      <c r="B22" s="9" t="s">
        <v>123</v>
      </c>
      <c r="C22" s="9" t="s">
        <v>124</v>
      </c>
      <c r="D22" s="9" t="s">
        <v>125</v>
      </c>
      <c r="E22" s="9" t="s">
        <v>126</v>
      </c>
      <c r="F22" s="9" t="s">
        <v>127</v>
      </c>
      <c r="G22" s="10" t="s">
        <v>128</v>
      </c>
      <c r="H22" s="10" t="s">
        <v>115</v>
      </c>
    </row>
    <row r="23" customFormat="false" ht="60" hidden="false" customHeight="true" outlineLevel="0" collapsed="false">
      <c r="A23" s="4" t="s">
        <v>129</v>
      </c>
      <c r="B23" s="5" t="s">
        <v>130</v>
      </c>
      <c r="C23" s="5" t="s">
        <v>131</v>
      </c>
      <c r="D23" s="5" t="s">
        <v>132</v>
      </c>
      <c r="E23" s="5" t="s">
        <v>49</v>
      </c>
      <c r="F23" s="5" t="s">
        <v>133</v>
      </c>
      <c r="G23" s="7" t="s">
        <v>77</v>
      </c>
      <c r="H23" s="7" t="s">
        <v>115</v>
      </c>
    </row>
    <row r="24" customFormat="false" ht="48" hidden="false" customHeight="true" outlineLevel="0" collapsed="false">
      <c r="A24" s="8" t="s">
        <v>134</v>
      </c>
      <c r="B24" s="9" t="s">
        <v>135</v>
      </c>
      <c r="C24" s="9" t="s">
        <v>136</v>
      </c>
      <c r="D24" s="9" t="s">
        <v>32</v>
      </c>
      <c r="E24" s="9" t="s">
        <v>38</v>
      </c>
      <c r="F24" s="9" t="s">
        <v>76</v>
      </c>
      <c r="G24" s="10" t="s">
        <v>137</v>
      </c>
      <c r="H24" s="10" t="s">
        <v>138</v>
      </c>
    </row>
    <row r="25" customFormat="false" ht="48" hidden="false" customHeight="true" outlineLevel="0" collapsed="false">
      <c r="A25" s="4" t="s">
        <v>139</v>
      </c>
      <c r="B25" s="5" t="s">
        <v>140</v>
      </c>
      <c r="C25" s="5" t="s">
        <v>141</v>
      </c>
      <c r="D25" s="5" t="s">
        <v>142</v>
      </c>
      <c r="E25" s="5" t="s">
        <v>143</v>
      </c>
      <c r="F25" s="5" t="s">
        <v>76</v>
      </c>
      <c r="G25" s="7" t="s">
        <v>137</v>
      </c>
      <c r="H25" s="7" t="s">
        <v>138</v>
      </c>
    </row>
    <row r="26" customFormat="false" ht="48" hidden="false" customHeight="true" outlineLevel="0" collapsed="false">
      <c r="A26" s="8" t="s">
        <v>144</v>
      </c>
      <c r="B26" s="9" t="s">
        <v>145</v>
      </c>
      <c r="C26" s="6" t="s">
        <v>146</v>
      </c>
      <c r="D26" s="9" t="s">
        <v>32</v>
      </c>
      <c r="E26" s="9" t="s">
        <v>147</v>
      </c>
      <c r="F26" s="9" t="s">
        <v>76</v>
      </c>
      <c r="G26" s="10" t="s">
        <v>137</v>
      </c>
      <c r="H26" s="10" t="s">
        <v>138</v>
      </c>
    </row>
    <row r="27" customFormat="false" ht="48" hidden="false" customHeight="true" outlineLevel="0" collapsed="false">
      <c r="A27" s="4" t="s">
        <v>148</v>
      </c>
      <c r="B27" s="5" t="s">
        <v>149</v>
      </c>
      <c r="C27" s="5" t="s">
        <v>150</v>
      </c>
      <c r="D27" s="5" t="s">
        <v>151</v>
      </c>
      <c r="E27" s="5" t="s">
        <v>44</v>
      </c>
      <c r="F27" s="5" t="s">
        <v>121</v>
      </c>
      <c r="G27" s="7" t="s">
        <v>152</v>
      </c>
      <c r="H27" s="7" t="s">
        <v>138</v>
      </c>
    </row>
    <row r="28" customFormat="false" ht="48" hidden="false" customHeight="true" outlineLevel="0" collapsed="false">
      <c r="A28" s="8" t="s">
        <v>153</v>
      </c>
      <c r="B28" s="9" t="s">
        <v>154</v>
      </c>
      <c r="C28" s="9" t="s">
        <v>155</v>
      </c>
      <c r="D28" s="9" t="s">
        <v>156</v>
      </c>
      <c r="E28" s="9" t="s">
        <v>25</v>
      </c>
      <c r="F28" s="9" t="s">
        <v>26</v>
      </c>
      <c r="G28" s="10" t="s">
        <v>27</v>
      </c>
      <c r="H28" s="10" t="s">
        <v>28</v>
      </c>
    </row>
    <row r="29" customFormat="false" ht="48" hidden="false" customHeight="true" outlineLevel="0" collapsed="false">
      <c r="A29" s="4" t="s">
        <v>157</v>
      </c>
      <c r="B29" s="5" t="s">
        <v>158</v>
      </c>
      <c r="C29" s="5" t="s">
        <v>159</v>
      </c>
      <c r="D29" s="5" t="s">
        <v>32</v>
      </c>
      <c r="E29" s="5" t="s">
        <v>160</v>
      </c>
      <c r="F29" s="5" t="s">
        <v>76</v>
      </c>
      <c r="G29" s="7" t="s">
        <v>137</v>
      </c>
      <c r="H29" s="7" t="s">
        <v>138</v>
      </c>
    </row>
    <row r="30" customFormat="false" ht="48" hidden="false" customHeight="true" outlineLevel="0" collapsed="false">
      <c r="A30" s="8" t="s">
        <v>161</v>
      </c>
      <c r="B30" s="9" t="s">
        <v>162</v>
      </c>
      <c r="C30" s="9" t="s">
        <v>163</v>
      </c>
      <c r="D30" s="9" t="s">
        <v>81</v>
      </c>
      <c r="E30" s="9" t="s">
        <v>164</v>
      </c>
      <c r="F30" s="9" t="s">
        <v>165</v>
      </c>
      <c r="G30" s="10" t="s">
        <v>61</v>
      </c>
      <c r="H30" s="10" t="s">
        <v>62</v>
      </c>
    </row>
    <row r="31" customFormat="false" ht="69" hidden="false" customHeight="true" outlineLevel="0" collapsed="false">
      <c r="A31" s="4" t="s">
        <v>166</v>
      </c>
      <c r="B31" s="5" t="s">
        <v>167</v>
      </c>
      <c r="C31" s="6" t="s">
        <v>168</v>
      </c>
      <c r="D31" s="5" t="s">
        <v>81</v>
      </c>
      <c r="E31" s="5" t="s">
        <v>120</v>
      </c>
      <c r="F31" s="5" t="s">
        <v>60</v>
      </c>
      <c r="G31" s="7" t="s">
        <v>61</v>
      </c>
      <c r="H31" s="7" t="s">
        <v>62</v>
      </c>
    </row>
    <row r="32" customFormat="false" ht="48" hidden="false" customHeight="true" outlineLevel="0" collapsed="false">
      <c r="A32" s="8" t="s">
        <v>169</v>
      </c>
      <c r="B32" s="9" t="s">
        <v>170</v>
      </c>
      <c r="C32" s="9" t="s">
        <v>171</v>
      </c>
      <c r="D32" s="9" t="s">
        <v>54</v>
      </c>
      <c r="E32" s="9" t="s">
        <v>55</v>
      </c>
      <c r="F32" s="9" t="s">
        <v>76</v>
      </c>
      <c r="G32" s="10" t="s">
        <v>27</v>
      </c>
      <c r="H32" s="10" t="s">
        <v>28</v>
      </c>
    </row>
    <row r="33" customFormat="false" ht="48" hidden="false" customHeight="true" outlineLevel="0" collapsed="false">
      <c r="A33" s="4" t="s">
        <v>172</v>
      </c>
      <c r="B33" s="5" t="s">
        <v>173</v>
      </c>
      <c r="C33" s="5" t="s">
        <v>174</v>
      </c>
      <c r="D33" s="5" t="s">
        <v>81</v>
      </c>
      <c r="E33" s="5" t="s">
        <v>59</v>
      </c>
      <c r="F33" s="5" t="s">
        <v>76</v>
      </c>
      <c r="G33" s="7" t="s">
        <v>61</v>
      </c>
      <c r="H33" s="7" t="s">
        <v>62</v>
      </c>
    </row>
    <row r="34" customFormat="false" ht="48" hidden="false" customHeight="true" outlineLevel="0" collapsed="false">
      <c r="A34" s="8" t="s">
        <v>175</v>
      </c>
      <c r="B34" s="9" t="s">
        <v>176</v>
      </c>
      <c r="C34" s="9" t="s">
        <v>177</v>
      </c>
      <c r="D34" s="9" t="s">
        <v>178</v>
      </c>
      <c r="E34" s="9" t="s">
        <v>103</v>
      </c>
      <c r="F34" s="9" t="s">
        <v>76</v>
      </c>
      <c r="G34" s="10" t="s">
        <v>179</v>
      </c>
      <c r="H34" s="10" t="s">
        <v>70</v>
      </c>
    </row>
    <row r="35" customFormat="false" ht="75" hidden="false" customHeight="true" outlineLevel="0" collapsed="false">
      <c r="A35" s="4" t="s">
        <v>180</v>
      </c>
      <c r="B35" s="5" t="s">
        <v>181</v>
      </c>
      <c r="C35" s="6" t="s">
        <v>182</v>
      </c>
      <c r="D35" s="5" t="s">
        <v>183</v>
      </c>
      <c r="E35" s="5" t="s">
        <v>13</v>
      </c>
      <c r="F35" s="5" t="s">
        <v>184</v>
      </c>
      <c r="G35" s="7" t="s">
        <v>185</v>
      </c>
      <c r="H35" s="7" t="s">
        <v>28</v>
      </c>
    </row>
    <row r="36" customFormat="false" ht="48" hidden="false" customHeight="true" outlineLevel="0" collapsed="false">
      <c r="A36" s="8" t="s">
        <v>186</v>
      </c>
      <c r="B36" s="9" t="s">
        <v>187</v>
      </c>
      <c r="C36" s="9" t="s">
        <v>188</v>
      </c>
      <c r="D36" s="6" t="s">
        <v>48</v>
      </c>
      <c r="E36" s="9" t="s">
        <v>49</v>
      </c>
      <c r="F36" s="9" t="s">
        <v>189</v>
      </c>
      <c r="G36" s="10" t="s">
        <v>185</v>
      </c>
      <c r="H36" s="10" t="s">
        <v>28</v>
      </c>
    </row>
    <row r="37" customFormat="false" ht="55.5" hidden="false" customHeight="true" outlineLevel="0" collapsed="false">
      <c r="A37" s="4" t="s">
        <v>190</v>
      </c>
      <c r="B37" s="5" t="s">
        <v>191</v>
      </c>
      <c r="C37" s="6" t="s">
        <v>192</v>
      </c>
      <c r="D37" s="5" t="s">
        <v>112</v>
      </c>
      <c r="E37" s="5" t="s">
        <v>113</v>
      </c>
      <c r="F37" s="5" t="s">
        <v>76</v>
      </c>
      <c r="G37" s="7" t="s">
        <v>27</v>
      </c>
      <c r="H37" s="7" t="s">
        <v>115</v>
      </c>
    </row>
    <row r="38" customFormat="false" ht="69" hidden="false" customHeight="true" outlineLevel="0" collapsed="false">
      <c r="A38" s="8" t="s">
        <v>193</v>
      </c>
      <c r="B38" s="9" t="s">
        <v>194</v>
      </c>
      <c r="C38" s="6" t="s">
        <v>195</v>
      </c>
      <c r="D38" s="9" t="s">
        <v>125</v>
      </c>
      <c r="E38" s="9" t="s">
        <v>126</v>
      </c>
      <c r="F38" s="9" t="s">
        <v>127</v>
      </c>
      <c r="G38" s="10" t="s">
        <v>128</v>
      </c>
      <c r="H38" s="10" t="s">
        <v>115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5"/>
    <col collapsed="false" customWidth="true" hidden="false" outlineLevel="0" max="3" min="3" style="1" width="62"/>
    <col collapsed="false" customWidth="true" hidden="false" outlineLevel="0" max="4" min="4" style="1" width="20"/>
    <col collapsed="false" customWidth="true" hidden="false" outlineLevel="0" max="5" min="5" style="1" width="22"/>
    <col collapsed="false" customWidth="true" hidden="false" outlineLevel="0" max="6" min="6" style="1" width="16"/>
    <col collapsed="false" customWidth="true" hidden="false" outlineLevel="0" max="7" min="7" style="0" width="12"/>
    <col collapsed="false" customWidth="true" hidden="false" outlineLevel="0" max="8" min="8" style="0" width="10"/>
  </cols>
  <sheetData>
    <row r="1" customFormat="false" ht="30" hidden="false" customHeight="true" outlineLevel="0" collapsed="false">
      <c r="A1" s="2" t="s">
        <v>196</v>
      </c>
      <c r="B1" s="2"/>
      <c r="C1" s="2"/>
      <c r="D1" s="2"/>
      <c r="E1" s="2"/>
      <c r="F1" s="2"/>
      <c r="G1" s="2"/>
      <c r="H1" s="2"/>
    </row>
    <row r="2" customFormat="false" ht="27.75" hidden="false" customHeight="true" outlineLevel="0" collapsed="false">
      <c r="A2" s="3" t="s">
        <v>1</v>
      </c>
      <c r="B2" s="3" t="s">
        <v>2</v>
      </c>
      <c r="C2" s="3" t="s">
        <v>3</v>
      </c>
      <c r="D2" s="3" t="s">
        <v>4</v>
      </c>
      <c r="E2" s="3" t="s">
        <v>5</v>
      </c>
      <c r="F2" s="3" t="s">
        <v>6</v>
      </c>
      <c r="G2" s="3" t="s">
        <v>7</v>
      </c>
      <c r="H2" s="3" t="s">
        <v>8</v>
      </c>
    </row>
    <row r="3" customFormat="false" ht="60" hidden="false" customHeight="true" outlineLevel="0" collapsed="false">
      <c r="A3" s="4" t="s">
        <v>197</v>
      </c>
      <c r="B3" s="5" t="s">
        <v>198</v>
      </c>
      <c r="C3" s="5" t="s">
        <v>199</v>
      </c>
      <c r="D3" s="5" t="s">
        <v>200</v>
      </c>
      <c r="E3" s="5" t="s">
        <v>201</v>
      </c>
      <c r="F3" s="5" t="s">
        <v>202</v>
      </c>
      <c r="G3" s="7" t="s">
        <v>15</v>
      </c>
      <c r="H3" s="7" t="s">
        <v>16</v>
      </c>
    </row>
    <row r="4" customFormat="false" ht="60" hidden="false" customHeight="true" outlineLevel="0" collapsed="false">
      <c r="A4" s="8" t="s">
        <v>203</v>
      </c>
      <c r="B4" s="9" t="s">
        <v>204</v>
      </c>
      <c r="C4" s="6" t="s">
        <v>205</v>
      </c>
      <c r="D4" s="9" t="s">
        <v>206</v>
      </c>
      <c r="E4" s="9" t="s">
        <v>207</v>
      </c>
      <c r="F4" s="9" t="s">
        <v>76</v>
      </c>
      <c r="G4" s="10" t="s">
        <v>208</v>
      </c>
      <c r="H4" s="10" t="s">
        <v>28</v>
      </c>
    </row>
    <row r="5" customFormat="false" ht="60" hidden="false" customHeight="true" outlineLevel="0" collapsed="false">
      <c r="A5" s="4" t="s">
        <v>209</v>
      </c>
      <c r="B5" s="5" t="s">
        <v>210</v>
      </c>
      <c r="C5" s="5" t="s">
        <v>211</v>
      </c>
      <c r="D5" s="5" t="s">
        <v>212</v>
      </c>
      <c r="E5" s="5" t="s">
        <v>213</v>
      </c>
      <c r="F5" s="5" t="s">
        <v>104</v>
      </c>
      <c r="G5" s="7" t="s">
        <v>208</v>
      </c>
      <c r="H5" s="7" t="s">
        <v>28</v>
      </c>
    </row>
    <row r="6" customFormat="false" ht="60" hidden="false" customHeight="true" outlineLevel="0" collapsed="false">
      <c r="A6" s="8" t="s">
        <v>214</v>
      </c>
      <c r="B6" s="9" t="s">
        <v>215</v>
      </c>
      <c r="C6" s="6" t="s">
        <v>216</v>
      </c>
      <c r="D6" s="9" t="s">
        <v>217</v>
      </c>
      <c r="E6" s="9" t="s">
        <v>201</v>
      </c>
      <c r="F6" s="9" t="s">
        <v>104</v>
      </c>
      <c r="G6" s="10" t="s">
        <v>208</v>
      </c>
      <c r="H6" s="10" t="s">
        <v>28</v>
      </c>
    </row>
    <row r="7" customFormat="false" ht="60" hidden="false" customHeight="true" outlineLevel="0" collapsed="false">
      <c r="A7" s="4" t="s">
        <v>218</v>
      </c>
      <c r="B7" s="5" t="s">
        <v>219</v>
      </c>
      <c r="C7" s="5" t="s">
        <v>220</v>
      </c>
      <c r="D7" s="5" t="s">
        <v>221</v>
      </c>
      <c r="E7" s="5" t="s">
        <v>222</v>
      </c>
      <c r="F7" s="5" t="s">
        <v>223</v>
      </c>
      <c r="G7" s="7" t="s">
        <v>208</v>
      </c>
      <c r="H7" s="7" t="s">
        <v>28</v>
      </c>
    </row>
    <row r="8" customFormat="false" ht="69" hidden="false" customHeight="true" outlineLevel="0" collapsed="false">
      <c r="A8" s="8" t="s">
        <v>224</v>
      </c>
      <c r="B8" s="9" t="s">
        <v>225</v>
      </c>
      <c r="C8" s="9" t="s">
        <v>226</v>
      </c>
      <c r="D8" s="9" t="s">
        <v>227</v>
      </c>
      <c r="E8" s="9" t="s">
        <v>228</v>
      </c>
      <c r="F8" s="9" t="s">
        <v>229</v>
      </c>
      <c r="G8" s="10" t="s">
        <v>230</v>
      </c>
      <c r="H8" s="10" t="s">
        <v>70</v>
      </c>
    </row>
    <row r="9" customFormat="false" ht="60" hidden="false" customHeight="true" outlineLevel="0" collapsed="false">
      <c r="A9" s="4" t="s">
        <v>231</v>
      </c>
      <c r="B9" s="5" t="s">
        <v>232</v>
      </c>
      <c r="C9" s="5" t="s">
        <v>233</v>
      </c>
      <c r="D9" s="5" t="s">
        <v>227</v>
      </c>
      <c r="E9" s="5" t="s">
        <v>222</v>
      </c>
      <c r="F9" s="5" t="s">
        <v>234</v>
      </c>
      <c r="G9" s="7" t="s">
        <v>230</v>
      </c>
      <c r="H9" s="7" t="s">
        <v>70</v>
      </c>
    </row>
    <row r="10" customFormat="false" ht="60" hidden="false" customHeight="true" outlineLevel="0" collapsed="false">
      <c r="A10" s="8" t="s">
        <v>235</v>
      </c>
      <c r="B10" s="9" t="s">
        <v>236</v>
      </c>
      <c r="C10" s="9" t="s">
        <v>237</v>
      </c>
      <c r="D10" s="9" t="s">
        <v>238</v>
      </c>
      <c r="E10" s="9" t="s">
        <v>213</v>
      </c>
      <c r="F10" s="9" t="s">
        <v>76</v>
      </c>
      <c r="G10" s="10" t="s">
        <v>230</v>
      </c>
      <c r="H10" s="10" t="s">
        <v>70</v>
      </c>
    </row>
    <row r="11" customFormat="false" ht="60" hidden="false" customHeight="true" outlineLevel="0" collapsed="false">
      <c r="A11" s="4" t="s">
        <v>239</v>
      </c>
      <c r="B11" s="5" t="s">
        <v>240</v>
      </c>
      <c r="C11" s="5" t="s">
        <v>241</v>
      </c>
      <c r="D11" s="5" t="s">
        <v>242</v>
      </c>
      <c r="E11" s="5" t="s">
        <v>243</v>
      </c>
      <c r="F11" s="5" t="s">
        <v>76</v>
      </c>
      <c r="G11" s="7" t="s">
        <v>244</v>
      </c>
      <c r="H11" s="7" t="s">
        <v>70</v>
      </c>
    </row>
    <row r="12" customFormat="false" ht="69" hidden="false" customHeight="true" outlineLevel="0" collapsed="false">
      <c r="A12" s="8" t="s">
        <v>245</v>
      </c>
      <c r="B12" s="9" t="s">
        <v>246</v>
      </c>
      <c r="C12" s="6" t="s">
        <v>247</v>
      </c>
      <c r="D12" s="9" t="s">
        <v>248</v>
      </c>
      <c r="E12" s="9" t="s">
        <v>249</v>
      </c>
      <c r="F12" s="9" t="s">
        <v>76</v>
      </c>
      <c r="G12" s="10" t="s">
        <v>244</v>
      </c>
      <c r="H12" s="10" t="s">
        <v>70</v>
      </c>
    </row>
    <row r="13" customFormat="false" ht="186" hidden="false" customHeight="true" outlineLevel="0" collapsed="false">
      <c r="A13" s="4" t="s">
        <v>250</v>
      </c>
      <c r="B13" s="5" t="s">
        <v>251</v>
      </c>
      <c r="C13" s="6" t="s">
        <v>252</v>
      </c>
      <c r="D13" s="5" t="s">
        <v>253</v>
      </c>
      <c r="E13" s="5" t="s">
        <v>254</v>
      </c>
      <c r="F13" s="6" t="s">
        <v>255</v>
      </c>
      <c r="G13" s="11" t="s">
        <v>179</v>
      </c>
      <c r="H13" s="11" t="s">
        <v>70</v>
      </c>
    </row>
    <row r="14" customFormat="false" ht="69" hidden="false" customHeight="true" outlineLevel="0" collapsed="false">
      <c r="A14" s="8" t="s">
        <v>256</v>
      </c>
      <c r="B14" s="9" t="s">
        <v>257</v>
      </c>
      <c r="C14" s="6" t="s">
        <v>258</v>
      </c>
      <c r="D14" s="9" t="s">
        <v>259</v>
      </c>
      <c r="E14" s="9" t="s">
        <v>254</v>
      </c>
      <c r="F14" s="9" t="s">
        <v>260</v>
      </c>
      <c r="G14" s="10" t="s">
        <v>179</v>
      </c>
      <c r="H14" s="10" t="s">
        <v>70</v>
      </c>
    </row>
    <row r="15" customFormat="false" ht="94.5" hidden="false" customHeight="true" outlineLevel="0" collapsed="false">
      <c r="A15" s="4" t="s">
        <v>261</v>
      </c>
      <c r="B15" s="5" t="s">
        <v>262</v>
      </c>
      <c r="C15" s="6" t="s">
        <v>263</v>
      </c>
      <c r="D15" s="5" t="s">
        <v>264</v>
      </c>
      <c r="E15" s="5" t="s">
        <v>265</v>
      </c>
      <c r="F15" s="5" t="s">
        <v>266</v>
      </c>
      <c r="G15" s="7" t="s">
        <v>179</v>
      </c>
      <c r="H15" s="7" t="s">
        <v>70</v>
      </c>
    </row>
    <row r="16" customFormat="false" ht="60" hidden="false" customHeight="true" outlineLevel="0" collapsed="false">
      <c r="A16" s="8" t="s">
        <v>267</v>
      </c>
      <c r="B16" s="9" t="s">
        <v>268</v>
      </c>
      <c r="C16" s="9" t="s">
        <v>269</v>
      </c>
      <c r="D16" s="9" t="s">
        <v>270</v>
      </c>
      <c r="E16" s="9" t="s">
        <v>25</v>
      </c>
      <c r="F16" s="9" t="s">
        <v>76</v>
      </c>
      <c r="G16" s="10" t="s">
        <v>179</v>
      </c>
      <c r="H16" s="10" t="s">
        <v>70</v>
      </c>
    </row>
    <row r="17" customFormat="false" ht="69" hidden="false" customHeight="true" outlineLevel="0" collapsed="false">
      <c r="A17" s="4" t="s">
        <v>271</v>
      </c>
      <c r="B17" s="5" t="s">
        <v>272</v>
      </c>
      <c r="C17" s="6" t="s">
        <v>273</v>
      </c>
      <c r="D17" s="5" t="s">
        <v>274</v>
      </c>
      <c r="E17" s="5" t="s">
        <v>75</v>
      </c>
      <c r="F17" s="5" t="s">
        <v>275</v>
      </c>
      <c r="G17" s="7" t="s">
        <v>77</v>
      </c>
      <c r="H17" s="7" t="s">
        <v>62</v>
      </c>
    </row>
    <row r="18" customFormat="false" ht="60" hidden="false" customHeight="true" outlineLevel="0" collapsed="false">
      <c r="A18" s="8" t="s">
        <v>276</v>
      </c>
      <c r="B18" s="9" t="s">
        <v>277</v>
      </c>
      <c r="C18" s="9" t="s">
        <v>278</v>
      </c>
      <c r="D18" s="9" t="s">
        <v>279</v>
      </c>
      <c r="E18" s="9" t="s">
        <v>280</v>
      </c>
      <c r="F18" s="9" t="s">
        <v>281</v>
      </c>
      <c r="G18" s="10" t="s">
        <v>61</v>
      </c>
      <c r="H18" s="10" t="s">
        <v>62</v>
      </c>
    </row>
    <row r="19" customFormat="false" ht="108" hidden="false" customHeight="true" outlineLevel="0" collapsed="false">
      <c r="A19" s="4" t="s">
        <v>282</v>
      </c>
      <c r="B19" s="5" t="s">
        <v>283</v>
      </c>
      <c r="C19" s="6" t="s">
        <v>284</v>
      </c>
      <c r="D19" s="5" t="s">
        <v>285</v>
      </c>
      <c r="E19" s="5" t="s">
        <v>249</v>
      </c>
      <c r="F19" s="5" t="s">
        <v>98</v>
      </c>
      <c r="G19" s="7" t="s">
        <v>94</v>
      </c>
      <c r="H19" s="7" t="s">
        <v>62</v>
      </c>
    </row>
    <row r="20" customFormat="false" ht="60" hidden="false" customHeight="true" outlineLevel="0" collapsed="false">
      <c r="A20" s="8" t="s">
        <v>286</v>
      </c>
      <c r="B20" s="9" t="s">
        <v>287</v>
      </c>
      <c r="C20" s="9" t="s">
        <v>288</v>
      </c>
      <c r="D20" s="9" t="s">
        <v>289</v>
      </c>
      <c r="E20" s="9" t="s">
        <v>280</v>
      </c>
      <c r="F20" s="9" t="s">
        <v>76</v>
      </c>
      <c r="G20" s="10" t="s">
        <v>290</v>
      </c>
      <c r="H20" s="10" t="s">
        <v>138</v>
      </c>
    </row>
    <row r="21" customFormat="false" ht="88.5" hidden="false" customHeight="true" outlineLevel="0" collapsed="false">
      <c r="A21" s="4" t="s">
        <v>291</v>
      </c>
      <c r="B21" s="6" t="s">
        <v>292</v>
      </c>
      <c r="C21" s="6" t="s">
        <v>293</v>
      </c>
      <c r="D21" s="5" t="s">
        <v>294</v>
      </c>
      <c r="E21" s="5" t="s">
        <v>213</v>
      </c>
      <c r="F21" s="5" t="s">
        <v>295</v>
      </c>
      <c r="G21" s="7" t="s">
        <v>290</v>
      </c>
      <c r="H21" s="7" t="s">
        <v>138</v>
      </c>
    </row>
    <row r="22" customFormat="false" ht="60" hidden="false" customHeight="true" outlineLevel="0" collapsed="false">
      <c r="A22" s="8" t="s">
        <v>296</v>
      </c>
      <c r="B22" s="9" t="s">
        <v>297</v>
      </c>
      <c r="C22" s="9" t="s">
        <v>298</v>
      </c>
      <c r="D22" s="9" t="s">
        <v>299</v>
      </c>
      <c r="E22" s="9" t="s">
        <v>75</v>
      </c>
      <c r="F22" s="9" t="s">
        <v>300</v>
      </c>
      <c r="G22" s="10" t="s">
        <v>61</v>
      </c>
      <c r="H22" s="10" t="s">
        <v>62</v>
      </c>
    </row>
    <row r="23" customFormat="false" ht="69" hidden="false" customHeight="true" outlineLevel="0" collapsed="false">
      <c r="A23" s="4" t="s">
        <v>301</v>
      </c>
      <c r="B23" s="5" t="s">
        <v>302</v>
      </c>
      <c r="C23" s="6" t="s">
        <v>303</v>
      </c>
      <c r="D23" s="5" t="s">
        <v>304</v>
      </c>
      <c r="E23" s="5" t="s">
        <v>75</v>
      </c>
      <c r="F23" s="5" t="s">
        <v>275</v>
      </c>
      <c r="G23" s="7" t="s">
        <v>77</v>
      </c>
      <c r="H23" s="7" t="s">
        <v>62</v>
      </c>
    </row>
    <row r="24" customFormat="false" ht="133.5" hidden="false" customHeight="true" outlineLevel="0" collapsed="false">
      <c r="A24" s="8" t="s">
        <v>305</v>
      </c>
      <c r="B24" s="9" t="s">
        <v>306</v>
      </c>
      <c r="C24" s="6" t="s">
        <v>307</v>
      </c>
      <c r="D24" s="9" t="s">
        <v>308</v>
      </c>
      <c r="E24" s="9" t="s">
        <v>309</v>
      </c>
      <c r="F24" s="9" t="s">
        <v>310</v>
      </c>
      <c r="G24" s="10" t="s">
        <v>185</v>
      </c>
      <c r="H24" s="10" t="s">
        <v>28</v>
      </c>
    </row>
    <row r="25" customFormat="false" ht="55.5" hidden="false" customHeight="true" outlineLevel="0" collapsed="false">
      <c r="A25" s="4" t="s">
        <v>311</v>
      </c>
      <c r="B25" s="5" t="s">
        <v>312</v>
      </c>
      <c r="C25" s="5" t="s">
        <v>313</v>
      </c>
      <c r="D25" s="5" t="s">
        <v>314</v>
      </c>
      <c r="E25" s="5" t="s">
        <v>249</v>
      </c>
      <c r="F25" s="5" t="s">
        <v>76</v>
      </c>
      <c r="G25" s="7" t="s">
        <v>94</v>
      </c>
      <c r="H25" s="7" t="s">
        <v>115</v>
      </c>
    </row>
    <row r="26" customFormat="false" ht="60" hidden="false" customHeight="true" outlineLevel="0" collapsed="false">
      <c r="A26" s="8" t="s">
        <v>315</v>
      </c>
      <c r="B26" s="9" t="s">
        <v>316</v>
      </c>
      <c r="C26" s="9" t="s">
        <v>317</v>
      </c>
      <c r="D26" s="9" t="s">
        <v>318</v>
      </c>
      <c r="E26" s="9" t="s">
        <v>319</v>
      </c>
      <c r="F26" s="9" t="s">
        <v>76</v>
      </c>
      <c r="G26" s="10" t="s">
        <v>179</v>
      </c>
      <c r="H26" s="10" t="s">
        <v>115</v>
      </c>
    </row>
    <row r="27" customFormat="false" ht="69" hidden="false" customHeight="true" outlineLevel="0" collapsed="false">
      <c r="A27" s="4" t="s">
        <v>320</v>
      </c>
      <c r="B27" s="5" t="s">
        <v>321</v>
      </c>
      <c r="C27" s="6" t="s">
        <v>322</v>
      </c>
      <c r="D27" s="6" t="s">
        <v>323</v>
      </c>
      <c r="E27" s="5" t="s">
        <v>309</v>
      </c>
      <c r="F27" s="5" t="s">
        <v>324</v>
      </c>
      <c r="G27" s="7" t="s">
        <v>185</v>
      </c>
      <c r="H27" s="7" t="s">
        <v>28</v>
      </c>
    </row>
    <row r="28" customFormat="false" ht="48" hidden="false" customHeight="true" outlineLevel="0" collapsed="false">
      <c r="A28" s="8" t="s">
        <v>325</v>
      </c>
      <c r="B28" s="9" t="s">
        <v>326</v>
      </c>
      <c r="C28" s="9" t="s">
        <v>327</v>
      </c>
      <c r="D28" s="9" t="s">
        <v>206</v>
      </c>
      <c r="E28" s="9" t="s">
        <v>328</v>
      </c>
      <c r="F28" s="9" t="s">
        <v>76</v>
      </c>
      <c r="G28" s="10" t="s">
        <v>208</v>
      </c>
      <c r="H28" s="10" t="s">
        <v>28</v>
      </c>
    </row>
    <row r="29" customFormat="false" ht="48" hidden="false" customHeight="true" outlineLevel="0" collapsed="false">
      <c r="A29" s="4" t="s">
        <v>329</v>
      </c>
      <c r="B29" s="5" t="s">
        <v>330</v>
      </c>
      <c r="C29" s="5" t="s">
        <v>331</v>
      </c>
      <c r="D29" s="5" t="s">
        <v>206</v>
      </c>
      <c r="E29" s="5" t="s">
        <v>332</v>
      </c>
      <c r="F29" s="5" t="s">
        <v>76</v>
      </c>
      <c r="G29" s="7" t="s">
        <v>137</v>
      </c>
      <c r="H29" s="7" t="s">
        <v>138</v>
      </c>
    </row>
    <row r="30" customFormat="false" ht="48" hidden="false" customHeight="true" outlineLevel="0" collapsed="false">
      <c r="A30" s="8" t="s">
        <v>333</v>
      </c>
      <c r="B30" s="9" t="s">
        <v>334</v>
      </c>
      <c r="C30" s="9" t="s">
        <v>335</v>
      </c>
      <c r="D30" s="9" t="s">
        <v>336</v>
      </c>
      <c r="E30" s="9" t="s">
        <v>337</v>
      </c>
      <c r="F30" s="9" t="s">
        <v>76</v>
      </c>
      <c r="G30" s="10" t="s">
        <v>152</v>
      </c>
      <c r="H30" s="10" t="s">
        <v>138</v>
      </c>
    </row>
    <row r="31" customFormat="false" ht="48" hidden="false" customHeight="true" outlineLevel="0" collapsed="false">
      <c r="A31" s="4" t="s">
        <v>338</v>
      </c>
      <c r="B31" s="5" t="s">
        <v>339</v>
      </c>
      <c r="C31" s="5" t="s">
        <v>340</v>
      </c>
      <c r="D31" s="5" t="s">
        <v>206</v>
      </c>
      <c r="E31" s="5" t="s">
        <v>341</v>
      </c>
      <c r="F31" s="5" t="s">
        <v>342</v>
      </c>
      <c r="G31" s="7" t="s">
        <v>152</v>
      </c>
      <c r="H31" s="7" t="s">
        <v>138</v>
      </c>
    </row>
    <row r="32" customFormat="false" ht="69" hidden="false" customHeight="true" outlineLevel="0" collapsed="false">
      <c r="A32" s="8" t="s">
        <v>343</v>
      </c>
      <c r="B32" s="9" t="s">
        <v>344</v>
      </c>
      <c r="C32" s="6" t="s">
        <v>345</v>
      </c>
      <c r="D32" s="9" t="s">
        <v>346</v>
      </c>
      <c r="E32" s="9" t="s">
        <v>201</v>
      </c>
      <c r="F32" s="9" t="s">
        <v>26</v>
      </c>
      <c r="G32" s="10" t="s">
        <v>15</v>
      </c>
      <c r="H32" s="10" t="s">
        <v>16</v>
      </c>
    </row>
    <row r="33" customFormat="false" ht="48" hidden="false" customHeight="true" outlineLevel="0" collapsed="false">
      <c r="A33" s="4" t="s">
        <v>347</v>
      </c>
      <c r="B33" s="5" t="s">
        <v>348</v>
      </c>
      <c r="C33" s="5" t="s">
        <v>349</v>
      </c>
      <c r="D33" s="5" t="s">
        <v>350</v>
      </c>
      <c r="E33" s="5" t="s">
        <v>213</v>
      </c>
      <c r="F33" s="5" t="s">
        <v>76</v>
      </c>
      <c r="G33" s="7" t="s">
        <v>351</v>
      </c>
      <c r="H33" s="7" t="s">
        <v>28</v>
      </c>
    </row>
    <row r="34" customFormat="false" ht="55.5" hidden="false" customHeight="true" outlineLevel="0" collapsed="false">
      <c r="A34" s="8" t="s">
        <v>352</v>
      </c>
      <c r="B34" s="9" t="s">
        <v>353</v>
      </c>
      <c r="C34" s="9" t="s">
        <v>354</v>
      </c>
      <c r="D34" s="9" t="s">
        <v>355</v>
      </c>
      <c r="E34" s="9" t="s">
        <v>265</v>
      </c>
      <c r="F34" s="9" t="s">
        <v>356</v>
      </c>
      <c r="G34" s="10" t="s">
        <v>179</v>
      </c>
      <c r="H34" s="10" t="s">
        <v>70</v>
      </c>
    </row>
    <row r="35" customFormat="false" ht="55.5" hidden="false" customHeight="true" outlineLevel="0" collapsed="false">
      <c r="A35" s="4" t="s">
        <v>357</v>
      </c>
      <c r="B35" s="5" t="s">
        <v>358</v>
      </c>
      <c r="C35" s="5" t="s">
        <v>359</v>
      </c>
      <c r="D35" s="5" t="s">
        <v>360</v>
      </c>
      <c r="E35" s="5" t="s">
        <v>243</v>
      </c>
      <c r="F35" s="5" t="s">
        <v>361</v>
      </c>
      <c r="G35" s="7" t="s">
        <v>152</v>
      </c>
      <c r="H35" s="7" t="s">
        <v>62</v>
      </c>
    </row>
    <row r="36" customFormat="false" ht="48" hidden="false" customHeight="true" outlineLevel="0" collapsed="false">
      <c r="A36" s="8" t="s">
        <v>362</v>
      </c>
      <c r="B36" s="9" t="s">
        <v>363</v>
      </c>
      <c r="C36" s="9" t="s">
        <v>364</v>
      </c>
      <c r="D36" s="9" t="s">
        <v>227</v>
      </c>
      <c r="E36" s="9" t="s">
        <v>228</v>
      </c>
      <c r="F36" s="9" t="s">
        <v>229</v>
      </c>
      <c r="G36" s="10" t="s">
        <v>230</v>
      </c>
      <c r="H36" s="10" t="s">
        <v>70</v>
      </c>
    </row>
    <row r="37" customFormat="false" ht="48" hidden="false" customHeight="true" outlineLevel="0" collapsed="false">
      <c r="A37" s="4" t="s">
        <v>365</v>
      </c>
      <c r="B37" s="5" t="s">
        <v>366</v>
      </c>
      <c r="C37" s="5" t="s">
        <v>367</v>
      </c>
      <c r="D37" s="5" t="s">
        <v>227</v>
      </c>
      <c r="E37" s="5" t="s">
        <v>222</v>
      </c>
      <c r="F37" s="5" t="s">
        <v>76</v>
      </c>
      <c r="G37" s="7" t="s">
        <v>230</v>
      </c>
      <c r="H37" s="7" t="s">
        <v>70</v>
      </c>
    </row>
    <row r="38" customFormat="false" ht="48" hidden="false" customHeight="true" outlineLevel="0" collapsed="false">
      <c r="A38" s="8" t="s">
        <v>368</v>
      </c>
      <c r="B38" s="9" t="s">
        <v>369</v>
      </c>
      <c r="C38" s="9" t="s">
        <v>370</v>
      </c>
      <c r="D38" s="9" t="s">
        <v>371</v>
      </c>
      <c r="E38" s="9" t="s">
        <v>249</v>
      </c>
      <c r="F38" s="9" t="s">
        <v>76</v>
      </c>
      <c r="G38" s="10" t="s">
        <v>152</v>
      </c>
      <c r="H38" s="10" t="s">
        <v>138</v>
      </c>
    </row>
    <row r="39" customFormat="false" ht="48" hidden="false" customHeight="true" outlineLevel="0" collapsed="false">
      <c r="A39" s="4" t="s">
        <v>372</v>
      </c>
      <c r="B39" s="5" t="s">
        <v>373</v>
      </c>
      <c r="C39" s="6" t="s">
        <v>374</v>
      </c>
      <c r="D39" s="5" t="s">
        <v>289</v>
      </c>
      <c r="E39" s="5" t="s">
        <v>280</v>
      </c>
      <c r="F39" s="5" t="s">
        <v>76</v>
      </c>
      <c r="G39" s="7" t="s">
        <v>290</v>
      </c>
      <c r="H39" s="7" t="s">
        <v>138</v>
      </c>
    </row>
    <row r="40" customFormat="false" ht="55.5" hidden="false" customHeight="true" outlineLevel="0" collapsed="false">
      <c r="A40" s="8" t="s">
        <v>375</v>
      </c>
      <c r="B40" s="9" t="s">
        <v>376</v>
      </c>
      <c r="C40" s="6" t="s">
        <v>377</v>
      </c>
      <c r="D40" s="9" t="s">
        <v>259</v>
      </c>
      <c r="E40" s="9" t="s">
        <v>254</v>
      </c>
      <c r="F40" s="9" t="s">
        <v>260</v>
      </c>
      <c r="G40" s="10" t="s">
        <v>179</v>
      </c>
      <c r="H40" s="10" t="s">
        <v>70</v>
      </c>
    </row>
    <row r="41" customFormat="false" ht="55.5" hidden="false" customHeight="true" outlineLevel="0" collapsed="false">
      <c r="A41" s="4" t="s">
        <v>378</v>
      </c>
      <c r="B41" s="5" t="s">
        <v>379</v>
      </c>
      <c r="C41" s="5" t="s">
        <v>380</v>
      </c>
      <c r="D41" s="5" t="s">
        <v>381</v>
      </c>
      <c r="E41" s="5" t="s">
        <v>309</v>
      </c>
      <c r="F41" s="5" t="s">
        <v>382</v>
      </c>
      <c r="G41" s="7" t="s">
        <v>185</v>
      </c>
      <c r="H41" s="7" t="s">
        <v>28</v>
      </c>
    </row>
    <row r="42" customFormat="false" ht="69" hidden="false" customHeight="true" outlineLevel="0" collapsed="false">
      <c r="A42" s="8" t="s">
        <v>383</v>
      </c>
      <c r="B42" s="9" t="s">
        <v>384</v>
      </c>
      <c r="C42" s="6" t="s">
        <v>385</v>
      </c>
      <c r="D42" s="9" t="s">
        <v>386</v>
      </c>
      <c r="E42" s="9" t="s">
        <v>75</v>
      </c>
      <c r="F42" s="9" t="s">
        <v>275</v>
      </c>
      <c r="G42" s="10" t="s">
        <v>77</v>
      </c>
      <c r="H42" s="10" t="s">
        <v>62</v>
      </c>
    </row>
    <row r="43" customFormat="false" ht="55.5" hidden="false" customHeight="true" outlineLevel="0" collapsed="false">
      <c r="A43" s="4" t="s">
        <v>387</v>
      </c>
      <c r="B43" s="5" t="s">
        <v>388</v>
      </c>
      <c r="C43" s="5" t="s">
        <v>389</v>
      </c>
      <c r="D43" s="5" t="s">
        <v>390</v>
      </c>
      <c r="E43" s="5" t="s">
        <v>391</v>
      </c>
      <c r="F43" s="5" t="s">
        <v>76</v>
      </c>
      <c r="G43" s="7" t="s">
        <v>152</v>
      </c>
      <c r="H43" s="7" t="s">
        <v>115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5"/>
    <col collapsed="false" customWidth="true" hidden="false" outlineLevel="0" max="3" min="3" style="1" width="62"/>
    <col collapsed="false" customWidth="true" hidden="false" outlineLevel="0" max="4" min="4" style="1" width="20"/>
    <col collapsed="false" customWidth="true" hidden="false" outlineLevel="0" max="5" min="5" style="1" width="22"/>
    <col collapsed="false" customWidth="true" hidden="false" outlineLevel="0" max="6" min="6" style="1" width="16"/>
    <col collapsed="false" customWidth="true" hidden="false" outlineLevel="0" max="7" min="7" style="0" width="12"/>
    <col collapsed="false" customWidth="true" hidden="false" outlineLevel="0" max="8" min="8" style="0" width="10"/>
  </cols>
  <sheetData>
    <row r="1" customFormat="false" ht="30" hidden="false" customHeight="true" outlineLevel="0" collapsed="false">
      <c r="A1" s="2" t="s">
        <v>392</v>
      </c>
      <c r="B1" s="2"/>
      <c r="C1" s="2"/>
      <c r="D1" s="2"/>
      <c r="E1" s="2"/>
      <c r="F1" s="2"/>
      <c r="G1" s="2"/>
      <c r="H1" s="2"/>
    </row>
    <row r="2" customFormat="false" ht="27.75" hidden="false" customHeight="true" outlineLevel="0" collapsed="false">
      <c r="A2" s="3" t="s">
        <v>1</v>
      </c>
      <c r="B2" s="3" t="s">
        <v>2</v>
      </c>
      <c r="C2" s="3" t="s">
        <v>3</v>
      </c>
      <c r="D2" s="3" t="s">
        <v>4</v>
      </c>
      <c r="E2" s="3" t="s">
        <v>5</v>
      </c>
      <c r="F2" s="3" t="s">
        <v>6</v>
      </c>
      <c r="G2" s="3" t="s">
        <v>7</v>
      </c>
      <c r="H2" s="3" t="s">
        <v>8</v>
      </c>
    </row>
    <row r="3" customFormat="false" ht="60" hidden="false" customHeight="true" outlineLevel="0" collapsed="false">
      <c r="A3" s="4" t="s">
        <v>393</v>
      </c>
      <c r="B3" s="5" t="s">
        <v>394</v>
      </c>
      <c r="C3" s="5" t="s">
        <v>395</v>
      </c>
      <c r="D3" s="5" t="s">
        <v>396</v>
      </c>
      <c r="E3" s="5" t="s">
        <v>397</v>
      </c>
      <c r="F3" s="5" t="s">
        <v>398</v>
      </c>
      <c r="G3" s="7" t="s">
        <v>15</v>
      </c>
      <c r="H3" s="7" t="s">
        <v>16</v>
      </c>
    </row>
    <row r="4" customFormat="false" ht="60" hidden="false" customHeight="true" outlineLevel="0" collapsed="false">
      <c r="A4" s="8" t="s">
        <v>399</v>
      </c>
      <c r="B4" s="9" t="s">
        <v>400</v>
      </c>
      <c r="C4" s="9" t="s">
        <v>401</v>
      </c>
      <c r="D4" s="9" t="s">
        <v>402</v>
      </c>
      <c r="E4" s="9" t="s">
        <v>397</v>
      </c>
      <c r="F4" s="9" t="s">
        <v>26</v>
      </c>
      <c r="G4" s="10" t="s">
        <v>15</v>
      </c>
      <c r="H4" s="10" t="s">
        <v>16</v>
      </c>
    </row>
    <row r="5" customFormat="false" ht="60" hidden="false" customHeight="true" outlineLevel="0" collapsed="false">
      <c r="A5" s="4" t="s">
        <v>403</v>
      </c>
      <c r="B5" s="5" t="s">
        <v>404</v>
      </c>
      <c r="C5" s="5" t="s">
        <v>405</v>
      </c>
      <c r="D5" s="5" t="s">
        <v>402</v>
      </c>
      <c r="E5" s="5" t="s">
        <v>201</v>
      </c>
      <c r="F5" s="5" t="s">
        <v>26</v>
      </c>
      <c r="G5" s="7" t="s">
        <v>15</v>
      </c>
      <c r="H5" s="7" t="s">
        <v>16</v>
      </c>
    </row>
    <row r="6" customFormat="false" ht="55.5" hidden="false" customHeight="true" outlineLevel="0" collapsed="false">
      <c r="A6" s="8" t="s">
        <v>406</v>
      </c>
      <c r="B6" s="9" t="s">
        <v>407</v>
      </c>
      <c r="C6" s="9" t="s">
        <v>408</v>
      </c>
      <c r="D6" s="9" t="s">
        <v>402</v>
      </c>
      <c r="E6" s="9" t="s">
        <v>397</v>
      </c>
      <c r="F6" s="9" t="s">
        <v>26</v>
      </c>
      <c r="G6" s="10" t="s">
        <v>15</v>
      </c>
      <c r="H6" s="10" t="s">
        <v>16</v>
      </c>
    </row>
    <row r="7" customFormat="false" ht="60" hidden="false" customHeight="true" outlineLevel="0" collapsed="false">
      <c r="A7" s="4" t="s">
        <v>409</v>
      </c>
      <c r="B7" s="5" t="s">
        <v>410</v>
      </c>
      <c r="C7" s="5" t="s">
        <v>411</v>
      </c>
      <c r="D7" s="5" t="s">
        <v>412</v>
      </c>
      <c r="E7" s="5" t="s">
        <v>413</v>
      </c>
      <c r="F7" s="5" t="s">
        <v>300</v>
      </c>
      <c r="G7" s="7" t="s">
        <v>351</v>
      </c>
      <c r="H7" s="7" t="s">
        <v>16</v>
      </c>
    </row>
    <row r="8" customFormat="false" ht="60" hidden="false" customHeight="true" outlineLevel="0" collapsed="false">
      <c r="A8" s="8" t="s">
        <v>414</v>
      </c>
      <c r="B8" s="9" t="s">
        <v>415</v>
      </c>
      <c r="C8" s="9" t="s">
        <v>416</v>
      </c>
      <c r="D8" s="9" t="s">
        <v>417</v>
      </c>
      <c r="E8" s="9" t="s">
        <v>418</v>
      </c>
      <c r="F8" s="9" t="s">
        <v>382</v>
      </c>
      <c r="G8" s="10" t="s">
        <v>152</v>
      </c>
      <c r="H8" s="10" t="s">
        <v>138</v>
      </c>
    </row>
    <row r="9" customFormat="false" ht="60" hidden="false" customHeight="true" outlineLevel="0" collapsed="false">
      <c r="A9" s="4" t="s">
        <v>419</v>
      </c>
      <c r="B9" s="5" t="s">
        <v>420</v>
      </c>
      <c r="C9" s="5" t="s">
        <v>421</v>
      </c>
      <c r="D9" s="5" t="s">
        <v>422</v>
      </c>
      <c r="E9" s="5" t="s">
        <v>423</v>
      </c>
      <c r="F9" s="5" t="s">
        <v>76</v>
      </c>
      <c r="G9" s="7" t="s">
        <v>351</v>
      </c>
      <c r="H9" s="7" t="s">
        <v>16</v>
      </c>
    </row>
    <row r="10" customFormat="false" ht="48" hidden="false" customHeight="true" outlineLevel="0" collapsed="false">
      <c r="A10" s="8" t="s">
        <v>424</v>
      </c>
      <c r="B10" s="9" t="s">
        <v>425</v>
      </c>
      <c r="C10" s="9" t="s">
        <v>426</v>
      </c>
      <c r="D10" s="9" t="s">
        <v>427</v>
      </c>
      <c r="E10" s="9" t="s">
        <v>428</v>
      </c>
      <c r="F10" s="9" t="s">
        <v>76</v>
      </c>
      <c r="G10" s="10" t="s">
        <v>128</v>
      </c>
      <c r="H10" s="10" t="s">
        <v>62</v>
      </c>
    </row>
    <row r="11" customFormat="false" ht="60" hidden="false" customHeight="true" outlineLevel="0" collapsed="false">
      <c r="A11" s="4" t="s">
        <v>429</v>
      </c>
      <c r="B11" s="5" t="s">
        <v>430</v>
      </c>
      <c r="C11" s="5" t="s">
        <v>431</v>
      </c>
      <c r="D11" s="5" t="s">
        <v>432</v>
      </c>
      <c r="E11" s="5" t="s">
        <v>397</v>
      </c>
      <c r="F11" s="5" t="s">
        <v>76</v>
      </c>
      <c r="G11" s="7" t="s">
        <v>351</v>
      </c>
      <c r="H11" s="7" t="s">
        <v>16</v>
      </c>
    </row>
    <row r="12" customFormat="false" ht="60" hidden="false" customHeight="true" outlineLevel="0" collapsed="false">
      <c r="A12" s="8" t="s">
        <v>433</v>
      </c>
      <c r="B12" s="9" t="s">
        <v>434</v>
      </c>
      <c r="C12" s="9" t="s">
        <v>435</v>
      </c>
      <c r="D12" s="9" t="s">
        <v>436</v>
      </c>
      <c r="E12" s="9" t="s">
        <v>437</v>
      </c>
      <c r="F12" s="9" t="s">
        <v>76</v>
      </c>
      <c r="G12" s="10" t="s">
        <v>152</v>
      </c>
      <c r="H12" s="10" t="s">
        <v>70</v>
      </c>
    </row>
    <row r="13" customFormat="false" ht="55.5" hidden="false" customHeight="true" outlineLevel="0" collapsed="false">
      <c r="A13" s="4" t="s">
        <v>438</v>
      </c>
      <c r="B13" s="5" t="s">
        <v>439</v>
      </c>
      <c r="C13" s="5" t="s">
        <v>440</v>
      </c>
      <c r="D13" s="5" t="s">
        <v>441</v>
      </c>
      <c r="E13" s="5" t="s">
        <v>67</v>
      </c>
      <c r="F13" s="5" t="s">
        <v>68</v>
      </c>
      <c r="G13" s="7" t="s">
        <v>69</v>
      </c>
      <c r="H13" s="7" t="s">
        <v>16</v>
      </c>
    </row>
    <row r="14" customFormat="false" ht="60" hidden="false" customHeight="true" outlineLevel="0" collapsed="false">
      <c r="A14" s="8" t="s">
        <v>442</v>
      </c>
      <c r="B14" s="9" t="s">
        <v>443</v>
      </c>
      <c r="C14" s="9" t="s">
        <v>444</v>
      </c>
      <c r="D14" s="9" t="s">
        <v>445</v>
      </c>
      <c r="E14" s="9" t="s">
        <v>446</v>
      </c>
      <c r="F14" s="9" t="s">
        <v>447</v>
      </c>
      <c r="G14" s="10" t="s">
        <v>61</v>
      </c>
      <c r="H14" s="10" t="s">
        <v>62</v>
      </c>
    </row>
    <row r="15" customFormat="false" ht="147" hidden="false" customHeight="true" outlineLevel="0" collapsed="false">
      <c r="A15" s="4" t="s">
        <v>448</v>
      </c>
      <c r="B15" s="5" t="s">
        <v>449</v>
      </c>
      <c r="C15" s="6" t="s">
        <v>450</v>
      </c>
      <c r="D15" s="5" t="s">
        <v>451</v>
      </c>
      <c r="E15" s="5" t="s">
        <v>452</v>
      </c>
      <c r="F15" s="5" t="s">
        <v>184</v>
      </c>
      <c r="G15" s="7" t="s">
        <v>185</v>
      </c>
      <c r="H15" s="7" t="s">
        <v>16</v>
      </c>
    </row>
    <row r="16" customFormat="false" ht="60" hidden="false" customHeight="true" outlineLevel="0" collapsed="false">
      <c r="A16" s="8" t="s">
        <v>453</v>
      </c>
      <c r="B16" s="9" t="s">
        <v>454</v>
      </c>
      <c r="C16" s="9" t="s">
        <v>455</v>
      </c>
      <c r="D16" s="9" t="s">
        <v>456</v>
      </c>
      <c r="E16" s="9" t="s">
        <v>309</v>
      </c>
      <c r="F16" s="9" t="s">
        <v>310</v>
      </c>
      <c r="G16" s="10" t="s">
        <v>185</v>
      </c>
      <c r="H16" s="10" t="s">
        <v>16</v>
      </c>
    </row>
    <row r="17" customFormat="false" ht="60" hidden="false" customHeight="true" outlineLevel="0" collapsed="false">
      <c r="A17" s="4" t="s">
        <v>457</v>
      </c>
      <c r="B17" s="5" t="s">
        <v>458</v>
      </c>
      <c r="C17" s="5" t="s">
        <v>459</v>
      </c>
      <c r="D17" s="5" t="s">
        <v>460</v>
      </c>
      <c r="E17" s="5" t="s">
        <v>461</v>
      </c>
      <c r="F17" s="5" t="s">
        <v>127</v>
      </c>
      <c r="G17" s="7" t="s">
        <v>128</v>
      </c>
      <c r="H17" s="7" t="s">
        <v>115</v>
      </c>
    </row>
    <row r="18" customFormat="false" ht="69" hidden="false" customHeight="true" outlineLevel="0" collapsed="false">
      <c r="A18" s="8" t="s">
        <v>462</v>
      </c>
      <c r="B18" s="9" t="s">
        <v>463</v>
      </c>
      <c r="C18" s="6" t="s">
        <v>464</v>
      </c>
      <c r="D18" s="9" t="s">
        <v>465</v>
      </c>
      <c r="E18" s="6" t="s">
        <v>466</v>
      </c>
      <c r="F18" s="9" t="s">
        <v>300</v>
      </c>
      <c r="G18" s="10" t="s">
        <v>351</v>
      </c>
      <c r="H18" s="10" t="s">
        <v>115</v>
      </c>
    </row>
    <row r="19" customFormat="false" ht="61.5" hidden="false" customHeight="true" outlineLevel="0" collapsed="false">
      <c r="A19" s="4" t="s">
        <v>467</v>
      </c>
      <c r="B19" s="5" t="s">
        <v>468</v>
      </c>
      <c r="C19" s="5" t="s">
        <v>469</v>
      </c>
      <c r="D19" s="6" t="s">
        <v>470</v>
      </c>
      <c r="E19" s="5" t="s">
        <v>471</v>
      </c>
      <c r="F19" s="5" t="s">
        <v>76</v>
      </c>
      <c r="G19" s="7" t="s">
        <v>351</v>
      </c>
      <c r="H19" s="7" t="s">
        <v>16</v>
      </c>
    </row>
    <row r="20" customFormat="false" ht="48" hidden="false" customHeight="true" outlineLevel="0" collapsed="false">
      <c r="A20" s="8" t="s">
        <v>472</v>
      </c>
      <c r="B20" s="9" t="s">
        <v>473</v>
      </c>
      <c r="C20" s="9" t="s">
        <v>474</v>
      </c>
      <c r="D20" s="9" t="s">
        <v>417</v>
      </c>
      <c r="E20" s="9" t="s">
        <v>475</v>
      </c>
      <c r="F20" s="9" t="s">
        <v>76</v>
      </c>
      <c r="G20" s="10" t="s">
        <v>152</v>
      </c>
      <c r="H20" s="10" t="s">
        <v>138</v>
      </c>
    </row>
    <row r="21" customFormat="false" ht="55.5" hidden="false" customHeight="true" outlineLevel="0" collapsed="false">
      <c r="A21" s="4" t="s">
        <v>476</v>
      </c>
      <c r="B21" s="5" t="s">
        <v>477</v>
      </c>
      <c r="C21" s="5" t="s">
        <v>478</v>
      </c>
      <c r="D21" s="5" t="s">
        <v>417</v>
      </c>
      <c r="E21" s="5" t="s">
        <v>418</v>
      </c>
      <c r="F21" s="5" t="s">
        <v>382</v>
      </c>
      <c r="G21" s="7" t="s">
        <v>152</v>
      </c>
      <c r="H21" s="7" t="s">
        <v>138</v>
      </c>
    </row>
    <row r="22" customFormat="false" ht="55.5" hidden="false" customHeight="true" outlineLevel="0" collapsed="false">
      <c r="A22" s="8" t="s">
        <v>479</v>
      </c>
      <c r="B22" s="9" t="s">
        <v>480</v>
      </c>
      <c r="C22" s="9" t="s">
        <v>481</v>
      </c>
      <c r="D22" s="9" t="s">
        <v>427</v>
      </c>
      <c r="E22" s="9" t="s">
        <v>428</v>
      </c>
      <c r="F22" s="9" t="s">
        <v>76</v>
      </c>
      <c r="G22" s="10" t="s">
        <v>351</v>
      </c>
      <c r="H22" s="10" t="s">
        <v>16</v>
      </c>
    </row>
    <row r="23" customFormat="false" ht="48" hidden="false" customHeight="true" outlineLevel="0" collapsed="false">
      <c r="A23" s="4" t="s">
        <v>482</v>
      </c>
      <c r="B23" s="5" t="s">
        <v>483</v>
      </c>
      <c r="C23" s="5" t="s">
        <v>484</v>
      </c>
      <c r="D23" s="5" t="s">
        <v>436</v>
      </c>
      <c r="E23" s="5" t="s">
        <v>437</v>
      </c>
      <c r="F23" s="5" t="s">
        <v>76</v>
      </c>
      <c r="G23" s="7" t="s">
        <v>152</v>
      </c>
      <c r="H23" s="7" t="s">
        <v>138</v>
      </c>
    </row>
    <row r="24" customFormat="false" ht="60" hidden="false" customHeight="true" outlineLevel="0" collapsed="false">
      <c r="A24" s="8" t="s">
        <v>485</v>
      </c>
      <c r="B24" s="9" t="s">
        <v>486</v>
      </c>
      <c r="C24" s="9" t="s">
        <v>487</v>
      </c>
      <c r="D24" s="9" t="s">
        <v>488</v>
      </c>
      <c r="E24" s="9" t="s">
        <v>397</v>
      </c>
      <c r="F24" s="9" t="s">
        <v>26</v>
      </c>
      <c r="G24" s="10" t="s">
        <v>15</v>
      </c>
      <c r="H24" s="10" t="s">
        <v>16</v>
      </c>
    </row>
    <row r="25" customFormat="false" ht="55.5" hidden="false" customHeight="true" outlineLevel="0" collapsed="false">
      <c r="A25" s="4" t="s">
        <v>489</v>
      </c>
      <c r="B25" s="5" t="s">
        <v>490</v>
      </c>
      <c r="C25" s="6" t="s">
        <v>491</v>
      </c>
      <c r="D25" s="5" t="s">
        <v>445</v>
      </c>
      <c r="E25" s="5" t="s">
        <v>446</v>
      </c>
      <c r="F25" s="5" t="s">
        <v>165</v>
      </c>
      <c r="G25" s="7" t="s">
        <v>61</v>
      </c>
      <c r="H25" s="7" t="s">
        <v>138</v>
      </c>
    </row>
    <row r="26" customFormat="false" ht="55.5" hidden="false" customHeight="true" outlineLevel="0" collapsed="false">
      <c r="A26" s="8" t="s">
        <v>492</v>
      </c>
      <c r="B26" s="9" t="s">
        <v>493</v>
      </c>
      <c r="C26" s="6" t="s">
        <v>494</v>
      </c>
      <c r="D26" s="9" t="s">
        <v>441</v>
      </c>
      <c r="E26" s="9" t="s">
        <v>67</v>
      </c>
      <c r="F26" s="9" t="s">
        <v>68</v>
      </c>
      <c r="G26" s="10" t="s">
        <v>69</v>
      </c>
      <c r="H26" s="10" t="s">
        <v>138</v>
      </c>
    </row>
    <row r="27" customFormat="false" ht="55.5" hidden="false" customHeight="true" outlineLevel="0" collapsed="false">
      <c r="A27" s="4" t="s">
        <v>495</v>
      </c>
      <c r="B27" s="5" t="s">
        <v>496</v>
      </c>
      <c r="C27" s="5" t="s">
        <v>497</v>
      </c>
      <c r="D27" s="5" t="s">
        <v>422</v>
      </c>
      <c r="E27" s="5" t="s">
        <v>498</v>
      </c>
      <c r="F27" s="5" t="s">
        <v>76</v>
      </c>
      <c r="G27" s="7" t="s">
        <v>351</v>
      </c>
      <c r="H27" s="7" t="s">
        <v>16</v>
      </c>
    </row>
    <row r="28" customFormat="false" ht="55.5" hidden="false" customHeight="true" outlineLevel="0" collapsed="false">
      <c r="A28" s="8" t="s">
        <v>499</v>
      </c>
      <c r="B28" s="9" t="s">
        <v>500</v>
      </c>
      <c r="C28" s="9" t="s">
        <v>501</v>
      </c>
      <c r="D28" s="9" t="s">
        <v>417</v>
      </c>
      <c r="E28" s="9" t="s">
        <v>319</v>
      </c>
      <c r="F28" s="9" t="s">
        <v>76</v>
      </c>
      <c r="G28" s="10" t="s">
        <v>152</v>
      </c>
      <c r="H28" s="10" t="s">
        <v>138</v>
      </c>
    </row>
    <row r="29" customFormat="false" ht="55.5" hidden="false" customHeight="true" outlineLevel="0" collapsed="false">
      <c r="A29" s="4" t="s">
        <v>502</v>
      </c>
      <c r="B29" s="5" t="s">
        <v>503</v>
      </c>
      <c r="C29" s="5" t="s">
        <v>504</v>
      </c>
      <c r="D29" s="5" t="s">
        <v>505</v>
      </c>
      <c r="E29" s="5" t="s">
        <v>506</v>
      </c>
      <c r="F29" s="5" t="s">
        <v>76</v>
      </c>
      <c r="G29" s="7" t="s">
        <v>351</v>
      </c>
      <c r="H29" s="7" t="s">
        <v>16</v>
      </c>
    </row>
    <row r="30" customFormat="false" ht="55.5" hidden="false" customHeight="true" outlineLevel="0" collapsed="false">
      <c r="A30" s="8" t="s">
        <v>507</v>
      </c>
      <c r="B30" s="9" t="s">
        <v>508</v>
      </c>
      <c r="C30" s="9" t="s">
        <v>509</v>
      </c>
      <c r="D30" s="9" t="s">
        <v>510</v>
      </c>
      <c r="E30" s="9" t="s">
        <v>511</v>
      </c>
      <c r="F30" s="9" t="s">
        <v>121</v>
      </c>
      <c r="G30" s="10" t="s">
        <v>152</v>
      </c>
      <c r="H30" s="10" t="s">
        <v>138</v>
      </c>
    </row>
    <row r="31" customFormat="false" ht="55.5" hidden="false" customHeight="true" outlineLevel="0" collapsed="false">
      <c r="A31" s="4" t="s">
        <v>512</v>
      </c>
      <c r="B31" s="5" t="s">
        <v>513</v>
      </c>
      <c r="C31" s="5" t="s">
        <v>514</v>
      </c>
      <c r="D31" s="5" t="s">
        <v>451</v>
      </c>
      <c r="E31" s="5" t="s">
        <v>452</v>
      </c>
      <c r="F31" s="5" t="s">
        <v>184</v>
      </c>
      <c r="G31" s="7" t="s">
        <v>185</v>
      </c>
      <c r="H31" s="7" t="s">
        <v>138</v>
      </c>
    </row>
    <row r="32" customFormat="false" ht="69" hidden="false" customHeight="true" outlineLevel="0" collapsed="false">
      <c r="A32" s="8" t="s">
        <v>515</v>
      </c>
      <c r="B32" s="6" t="s">
        <v>516</v>
      </c>
      <c r="C32" s="6" t="s">
        <v>517</v>
      </c>
      <c r="D32" s="6" t="s">
        <v>518</v>
      </c>
      <c r="E32" s="6" t="s">
        <v>466</v>
      </c>
      <c r="F32" s="9" t="s">
        <v>300</v>
      </c>
      <c r="G32" s="10" t="s">
        <v>351</v>
      </c>
      <c r="H32" s="10" t="s">
        <v>16</v>
      </c>
    </row>
    <row r="33" customFormat="false" ht="48" hidden="false" customHeight="true" outlineLevel="0" collapsed="false">
      <c r="A33" s="4" t="s">
        <v>519</v>
      </c>
      <c r="B33" s="5" t="s">
        <v>520</v>
      </c>
      <c r="C33" s="5" t="s">
        <v>521</v>
      </c>
      <c r="D33" s="6" t="s">
        <v>522</v>
      </c>
      <c r="E33" s="5" t="s">
        <v>523</v>
      </c>
      <c r="F33" s="5" t="s">
        <v>76</v>
      </c>
      <c r="G33" s="7" t="s">
        <v>351</v>
      </c>
      <c r="H33" s="7" t="s">
        <v>115</v>
      </c>
    </row>
    <row r="34" customFormat="false" ht="55.5" hidden="false" customHeight="true" outlineLevel="0" collapsed="false">
      <c r="A34" s="8" t="s">
        <v>524</v>
      </c>
      <c r="B34" s="9" t="s">
        <v>525</v>
      </c>
      <c r="C34" s="9" t="s">
        <v>526</v>
      </c>
      <c r="D34" s="9" t="s">
        <v>527</v>
      </c>
      <c r="E34" s="9" t="s">
        <v>461</v>
      </c>
      <c r="F34" s="9" t="s">
        <v>127</v>
      </c>
      <c r="G34" s="10" t="s">
        <v>128</v>
      </c>
      <c r="H34" s="10" t="s">
        <v>115</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55"/>
    <col collapsed="false" customWidth="true" hidden="false" outlineLevel="0" max="3" min="3" style="1" width="62"/>
    <col collapsed="false" customWidth="true" hidden="false" outlineLevel="0" max="4" min="4" style="1" width="20"/>
    <col collapsed="false" customWidth="true" hidden="false" outlineLevel="0" max="5" min="5" style="1" width="22"/>
    <col collapsed="false" customWidth="true" hidden="false" outlineLevel="0" max="6" min="6" style="1" width="16"/>
    <col collapsed="false" customWidth="true" hidden="false" outlineLevel="0" max="7" min="7" style="0" width="12"/>
    <col collapsed="false" customWidth="true" hidden="false" outlineLevel="0" max="8" min="8" style="0" width="10"/>
  </cols>
  <sheetData>
    <row r="1" customFormat="false" ht="30" hidden="false" customHeight="true" outlineLevel="0" collapsed="false">
      <c r="A1" s="2" t="s">
        <v>528</v>
      </c>
      <c r="B1" s="2"/>
      <c r="C1" s="2"/>
      <c r="D1" s="2"/>
      <c r="E1" s="2"/>
      <c r="F1" s="2"/>
      <c r="G1" s="2"/>
      <c r="H1" s="2"/>
    </row>
    <row r="2" customFormat="false" ht="27.75" hidden="false" customHeight="true" outlineLevel="0" collapsed="false">
      <c r="A2" s="3" t="s">
        <v>1</v>
      </c>
      <c r="B2" s="3" t="s">
        <v>2</v>
      </c>
      <c r="C2" s="3" t="s">
        <v>3</v>
      </c>
      <c r="D2" s="3" t="s">
        <v>4</v>
      </c>
      <c r="E2" s="3" t="s">
        <v>5</v>
      </c>
      <c r="F2" s="3" t="s">
        <v>6</v>
      </c>
      <c r="G2" s="3" t="s">
        <v>7</v>
      </c>
      <c r="H2" s="3" t="s">
        <v>8</v>
      </c>
    </row>
    <row r="3" customFormat="false" ht="48" hidden="false" customHeight="true" outlineLevel="0" collapsed="false">
      <c r="A3" s="4" t="s">
        <v>529</v>
      </c>
      <c r="B3" s="5" t="s">
        <v>530</v>
      </c>
      <c r="C3" s="5" t="s">
        <v>531</v>
      </c>
      <c r="D3" s="5" t="s">
        <v>532</v>
      </c>
      <c r="E3" s="5" t="s">
        <v>25</v>
      </c>
      <c r="F3" s="5" t="s">
        <v>76</v>
      </c>
      <c r="G3" s="7" t="s">
        <v>179</v>
      </c>
      <c r="H3" s="7" t="s">
        <v>70</v>
      </c>
    </row>
    <row r="4" customFormat="false" ht="48" hidden="false" customHeight="true" outlineLevel="0" collapsed="false">
      <c r="A4" s="8" t="s">
        <v>533</v>
      </c>
      <c r="B4" s="9" t="s">
        <v>534</v>
      </c>
      <c r="C4" s="9" t="s">
        <v>535</v>
      </c>
      <c r="D4" s="9" t="s">
        <v>264</v>
      </c>
      <c r="E4" s="9" t="s">
        <v>265</v>
      </c>
      <c r="F4" s="9" t="s">
        <v>356</v>
      </c>
      <c r="G4" s="10" t="s">
        <v>179</v>
      </c>
      <c r="H4" s="10" t="s">
        <v>70</v>
      </c>
    </row>
    <row r="5" customFormat="false" ht="48" hidden="false" customHeight="true" outlineLevel="0" collapsed="false">
      <c r="A5" s="4" t="s">
        <v>536</v>
      </c>
      <c r="B5" s="5" t="s">
        <v>537</v>
      </c>
      <c r="C5" s="5" t="s">
        <v>538</v>
      </c>
      <c r="D5" s="5" t="s">
        <v>355</v>
      </c>
      <c r="E5" s="5" t="s">
        <v>265</v>
      </c>
      <c r="F5" s="5" t="s">
        <v>539</v>
      </c>
      <c r="G5" s="7" t="s">
        <v>179</v>
      </c>
      <c r="H5" s="7" t="s">
        <v>70</v>
      </c>
    </row>
    <row r="6" customFormat="false" ht="61.5" hidden="false" customHeight="true" outlineLevel="0" collapsed="false">
      <c r="A6" s="8" t="s">
        <v>540</v>
      </c>
      <c r="B6" s="9" t="s">
        <v>541</v>
      </c>
      <c r="C6" s="6" t="s">
        <v>542</v>
      </c>
      <c r="D6" s="9" t="s">
        <v>270</v>
      </c>
      <c r="E6" s="9" t="s">
        <v>265</v>
      </c>
      <c r="F6" s="9" t="s">
        <v>356</v>
      </c>
      <c r="G6" s="10" t="s">
        <v>179</v>
      </c>
      <c r="H6" s="10" t="s">
        <v>70</v>
      </c>
    </row>
    <row r="7" customFormat="false" ht="48" hidden="false" customHeight="true" outlineLevel="0" collapsed="false">
      <c r="A7" s="4" t="s">
        <v>543</v>
      </c>
      <c r="B7" s="5" t="s">
        <v>544</v>
      </c>
      <c r="C7" s="5" t="s">
        <v>545</v>
      </c>
      <c r="D7" s="5" t="s">
        <v>546</v>
      </c>
      <c r="E7" s="5" t="s">
        <v>547</v>
      </c>
      <c r="F7" s="5" t="s">
        <v>281</v>
      </c>
      <c r="G7" s="7" t="s">
        <v>61</v>
      </c>
      <c r="H7" s="7" t="s">
        <v>62</v>
      </c>
    </row>
    <row r="8" customFormat="false" ht="48" hidden="false" customHeight="true" outlineLevel="0" collapsed="false">
      <c r="A8" s="8" t="s">
        <v>548</v>
      </c>
      <c r="B8" s="9" t="s">
        <v>549</v>
      </c>
      <c r="C8" s="9" t="s">
        <v>550</v>
      </c>
      <c r="D8" s="9" t="s">
        <v>546</v>
      </c>
      <c r="E8" s="9" t="s">
        <v>551</v>
      </c>
      <c r="F8" s="9" t="s">
        <v>165</v>
      </c>
      <c r="G8" s="10" t="s">
        <v>61</v>
      </c>
      <c r="H8" s="10" t="s">
        <v>62</v>
      </c>
    </row>
    <row r="9" customFormat="false" ht="48" hidden="false" customHeight="true" outlineLevel="0" collapsed="false">
      <c r="A9" s="4" t="s">
        <v>552</v>
      </c>
      <c r="B9" s="5" t="s">
        <v>553</v>
      </c>
      <c r="C9" s="5" t="s">
        <v>554</v>
      </c>
      <c r="D9" s="5" t="s">
        <v>66</v>
      </c>
      <c r="E9" s="5" t="s">
        <v>67</v>
      </c>
      <c r="F9" s="5" t="s">
        <v>68</v>
      </c>
      <c r="G9" s="7" t="s">
        <v>179</v>
      </c>
      <c r="H9" s="7" t="s">
        <v>70</v>
      </c>
    </row>
    <row r="10" customFormat="false" ht="48" hidden="false" customHeight="true" outlineLevel="0" collapsed="false">
      <c r="A10" s="8" t="s">
        <v>555</v>
      </c>
      <c r="B10" s="9" t="s">
        <v>556</v>
      </c>
      <c r="C10" s="9" t="s">
        <v>557</v>
      </c>
      <c r="D10" s="9" t="s">
        <v>558</v>
      </c>
      <c r="E10" s="9" t="s">
        <v>559</v>
      </c>
      <c r="F10" s="9" t="s">
        <v>121</v>
      </c>
      <c r="G10" s="10" t="s">
        <v>244</v>
      </c>
      <c r="H10" s="10" t="s">
        <v>16</v>
      </c>
    </row>
    <row r="11" customFormat="false" ht="48" hidden="false" customHeight="true" outlineLevel="0" collapsed="false">
      <c r="A11" s="4" t="s">
        <v>560</v>
      </c>
      <c r="B11" s="5" t="s">
        <v>561</v>
      </c>
      <c r="C11" s="5" t="s">
        <v>562</v>
      </c>
      <c r="D11" s="5" t="s">
        <v>563</v>
      </c>
      <c r="E11" s="5" t="s">
        <v>564</v>
      </c>
      <c r="F11" s="5" t="s">
        <v>234</v>
      </c>
      <c r="G11" s="7" t="s">
        <v>230</v>
      </c>
      <c r="H11" s="7" t="s">
        <v>70</v>
      </c>
    </row>
    <row r="12" customFormat="false" ht="48" hidden="false" customHeight="true" outlineLevel="0" collapsed="false">
      <c r="A12" s="8" t="s">
        <v>565</v>
      </c>
      <c r="B12" s="9" t="s">
        <v>566</v>
      </c>
      <c r="C12" s="9" t="s">
        <v>567</v>
      </c>
      <c r="D12" s="9" t="s">
        <v>568</v>
      </c>
      <c r="E12" s="9" t="s">
        <v>44</v>
      </c>
      <c r="F12" s="9" t="s">
        <v>398</v>
      </c>
      <c r="G12" s="10" t="s">
        <v>15</v>
      </c>
      <c r="H12" s="10" t="s">
        <v>16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44"/>
    <col collapsed="false" customWidth="true" hidden="false" outlineLevel="0" max="4" min="4" style="0" width="30"/>
    <col collapsed="false" customWidth="true" hidden="false" outlineLevel="0" max="5" min="5" style="0" width="46"/>
    <col collapsed="false" customWidth="true" hidden="false" outlineLevel="0" max="6" min="6" style="0" width="7"/>
    <col collapsed="false" customWidth="true" hidden="false" outlineLevel="0" max="11" min="7" style="0" width="6"/>
    <col collapsed="false" customWidth="true" hidden="false" outlineLevel="0" max="12" min="12" style="0" width="11"/>
    <col collapsed="false" customWidth="true" hidden="false" outlineLevel="0" max="13" min="13" style="0" width="44"/>
  </cols>
  <sheetData>
    <row r="1" customFormat="false" ht="16.15" hidden="false" customHeight="false" outlineLevel="0" collapsed="false">
      <c r="A1" s="12" t="s">
        <v>569</v>
      </c>
      <c r="B1" s="12"/>
      <c r="C1" s="12"/>
      <c r="D1" s="12"/>
      <c r="E1" s="12"/>
      <c r="F1" s="12"/>
      <c r="G1" s="12"/>
      <c r="H1" s="12"/>
      <c r="I1" s="12"/>
      <c r="J1" s="12"/>
      <c r="K1" s="12"/>
      <c r="L1" s="12"/>
      <c r="M1" s="12"/>
    </row>
    <row r="2" customFormat="false" ht="15" hidden="false" customHeight="false" outlineLevel="0" collapsed="false">
      <c r="A2" s="13" t="s">
        <v>570</v>
      </c>
      <c r="B2" s="13" t="s">
        <v>7</v>
      </c>
      <c r="C2" s="13" t="s">
        <v>571</v>
      </c>
      <c r="D2" s="13" t="s">
        <v>572</v>
      </c>
      <c r="E2" s="13" t="s">
        <v>573</v>
      </c>
      <c r="F2" s="13" t="s">
        <v>574</v>
      </c>
      <c r="G2" s="13" t="s">
        <v>16</v>
      </c>
      <c r="H2" s="13" t="s">
        <v>28</v>
      </c>
      <c r="I2" s="13" t="s">
        <v>70</v>
      </c>
      <c r="J2" s="13" t="s">
        <v>62</v>
      </c>
      <c r="K2" s="13" t="s">
        <v>138</v>
      </c>
      <c r="L2" s="13" t="s">
        <v>575</v>
      </c>
      <c r="M2" s="13" t="s">
        <v>576</v>
      </c>
    </row>
    <row r="3" customFormat="false" ht="69.75" hidden="false" customHeight="true" outlineLevel="0" collapsed="false">
      <c r="A3" s="14" t="s">
        <v>15</v>
      </c>
      <c r="B3" s="14" t="s">
        <v>577</v>
      </c>
      <c r="C3" s="14" t="s">
        <v>578</v>
      </c>
      <c r="D3" s="14" t="s">
        <v>579</v>
      </c>
      <c r="E3" s="14" t="s">
        <v>580</v>
      </c>
      <c r="F3" s="15" t="n">
        <f aca="false">SUM(G3:L3)</f>
        <v>10</v>
      </c>
      <c r="G3" s="15" t="n">
        <f aca="false">COUNTIFS('Normal User'!$G$3:$G$60,$A3,'Normal User'!$H$3:$H$60,"S1")+COUNTIFS('Disaster Management'!$G$3:$G$60,$A3,'Disaster Management'!$H$3:$H$60,"S1")+COUNTIFS('Application Management'!$G$3:$G$60,$A3,'Application Management'!$H$3:$H$60,"S1")+COUNTIFS('External Parties'!$G$3:$G$60,$A3,'External Parties'!$H$3:$H$60,"S1")</f>
        <v>10</v>
      </c>
      <c r="H3" s="15" t="n">
        <f aca="false">COUNTIFS('Normal User'!$G$3:$G$60,$A3,'Normal User'!$H$3:$H$60,"S2")+COUNTIFS('Disaster Management'!$G$3:$G$60,$A3,'Disaster Management'!$H$3:$H$60,"S2")+COUNTIFS('Application Management'!$G$3:$G$60,$A3,'Application Management'!$H$3:$H$60,"S2")+COUNTIFS('External Parties'!$G$3:$G$60,$A3,'External Parties'!$H$3:$H$60,"S2")</f>
        <v>0</v>
      </c>
      <c r="I3" s="15" t="n">
        <f aca="false">COUNTIFS('Normal User'!$G$3:$G$60,$A3,'Normal User'!$H$3:$H$60,"S3")+COUNTIFS('Disaster Management'!$G$3:$G$60,$A3,'Disaster Management'!$H$3:$H$60,"S3")+COUNTIFS('Application Management'!$G$3:$G$60,$A3,'Application Management'!$H$3:$H$60,"S3")+COUNTIFS('External Parties'!$G$3:$G$60,$A3,'External Parties'!$H$3:$H$60,"S3")</f>
        <v>0</v>
      </c>
      <c r="J3" s="15" t="n">
        <f aca="false">COUNTIFS('Normal User'!$G$3:$G$60,$A3,'Normal User'!$H$3:$H$60,"S4")+COUNTIFS('Disaster Management'!$G$3:$G$60,$A3,'Disaster Management'!$H$3:$H$60,"S4")+COUNTIFS('Application Management'!$G$3:$G$60,$A3,'Application Management'!$H$3:$H$60,"S4")+COUNTIFS('External Parties'!$G$3:$G$60,$A3,'External Parties'!$H$3:$H$60,"S4")</f>
        <v>0</v>
      </c>
      <c r="K3" s="15" t="n">
        <f aca="false">COUNTIFS('Normal User'!$G$3:$G$60,$A3,'Normal User'!$H$3:$H$60,"S5")+COUNTIFS('Disaster Management'!$G$3:$G$60,$A3,'Disaster Management'!$H$3:$H$60,"S5")+COUNTIFS('Application Management'!$G$3:$G$60,$A3,'Application Management'!$H$3:$H$60,"S5")+COUNTIFS('External Parties'!$G$3:$G$60,$A3,'External Parties'!$H$3:$H$60,"S5")</f>
        <v>0</v>
      </c>
      <c r="L3" s="15" t="n">
        <f aca="false">COUNTIFS('Normal User'!$G$3:$G$60,$A3,'Normal User'!$H$3:$H$60,"Cond")+COUNTIFS('Disaster Management'!$G$3:$G$60,$A3,'Disaster Management'!$H$3:$H$60,"Cond")+COUNTIFS('Application Management'!$G$3:$G$60,$A3,'Application Management'!$H$3:$H$60,"Cond")+COUNTIFS('External Parties'!$G$3:$G$60,$A3,'External Parties'!$H$3:$H$60,"Cond")</f>
        <v>0</v>
      </c>
      <c r="M3" s="14" t="s">
        <v>581</v>
      </c>
    </row>
    <row r="4" customFormat="false" ht="69.75" hidden="false" customHeight="true" outlineLevel="0" collapsed="false">
      <c r="A4" s="14" t="s">
        <v>351</v>
      </c>
      <c r="B4" s="14" t="s">
        <v>582</v>
      </c>
      <c r="C4" s="14" t="s">
        <v>583</v>
      </c>
      <c r="D4" s="14" t="s">
        <v>584</v>
      </c>
      <c r="E4" s="14" t="s">
        <v>585</v>
      </c>
      <c r="F4" s="15" t="n">
        <f aca="false">SUM(G4:L4)</f>
        <v>11</v>
      </c>
      <c r="G4" s="15" t="n">
        <f aca="false">COUNTIFS('Normal User'!$G$3:$G$60,$A4,'Normal User'!$H$3:$H$60,"S1")+COUNTIFS('Disaster Management'!$G$3:$G$60,$A4,'Disaster Management'!$H$3:$H$60,"S1")+COUNTIFS('Application Management'!$G$3:$G$60,$A4,'Application Management'!$H$3:$H$60,"S1")+COUNTIFS('External Parties'!$G$3:$G$60,$A4,'External Parties'!$H$3:$H$60,"S1")</f>
        <v>8</v>
      </c>
      <c r="H4" s="15" t="n">
        <f aca="false">COUNTIFS('Normal User'!$G$3:$G$60,$A4,'Normal User'!$H$3:$H$60,"S2")+COUNTIFS('Disaster Management'!$G$3:$G$60,$A4,'Disaster Management'!$H$3:$H$60,"S2")+COUNTIFS('Application Management'!$G$3:$G$60,$A4,'Application Management'!$H$3:$H$60,"S2")+COUNTIFS('External Parties'!$G$3:$G$60,$A4,'External Parties'!$H$3:$H$60,"S2")</f>
        <v>1</v>
      </c>
      <c r="I4" s="15" t="n">
        <f aca="false">COUNTIFS('Normal User'!$G$3:$G$60,$A4,'Normal User'!$H$3:$H$60,"S3")+COUNTIFS('Disaster Management'!$G$3:$G$60,$A4,'Disaster Management'!$H$3:$H$60,"S3")+COUNTIFS('Application Management'!$G$3:$G$60,$A4,'Application Management'!$H$3:$H$60,"S3")+COUNTIFS('External Parties'!$G$3:$G$60,$A4,'External Parties'!$H$3:$H$60,"S3")</f>
        <v>0</v>
      </c>
      <c r="J4" s="15" t="n">
        <f aca="false">COUNTIFS('Normal User'!$G$3:$G$60,$A4,'Normal User'!$H$3:$H$60,"S4")+COUNTIFS('Disaster Management'!$G$3:$G$60,$A4,'Disaster Management'!$H$3:$H$60,"S4")+COUNTIFS('Application Management'!$G$3:$G$60,$A4,'Application Management'!$H$3:$H$60,"S4")+COUNTIFS('External Parties'!$G$3:$G$60,$A4,'External Parties'!$H$3:$H$60,"S4")</f>
        <v>0</v>
      </c>
      <c r="K4" s="15" t="n">
        <f aca="false">COUNTIFS('Normal User'!$G$3:$G$60,$A4,'Normal User'!$H$3:$H$60,"S5")+COUNTIFS('Disaster Management'!$G$3:$G$60,$A4,'Disaster Management'!$H$3:$H$60,"S5")+COUNTIFS('Application Management'!$G$3:$G$60,$A4,'Application Management'!$H$3:$H$60,"S5")+COUNTIFS('External Parties'!$G$3:$G$60,$A4,'External Parties'!$H$3:$H$60,"S5")</f>
        <v>0</v>
      </c>
      <c r="L4" s="15" t="n">
        <f aca="false">COUNTIFS('Normal User'!$G$3:$G$60,$A4,'Normal User'!$H$3:$H$60,"Cond")+COUNTIFS('Disaster Management'!$G$3:$G$60,$A4,'Disaster Management'!$H$3:$H$60,"Cond")+COUNTIFS('Application Management'!$G$3:$G$60,$A4,'Application Management'!$H$3:$H$60,"Cond")+COUNTIFS('External Parties'!$G$3:$G$60,$A4,'External Parties'!$H$3:$H$60,"Cond")</f>
        <v>2</v>
      </c>
      <c r="M4" s="14" t="s">
        <v>586</v>
      </c>
    </row>
    <row r="5" customFormat="false" ht="69.75" hidden="false" customHeight="true" outlineLevel="0" collapsed="false">
      <c r="A5" s="14" t="s">
        <v>185</v>
      </c>
      <c r="B5" s="14" t="s">
        <v>587</v>
      </c>
      <c r="C5" s="14" t="s">
        <v>588</v>
      </c>
      <c r="D5" s="14" t="s">
        <v>579</v>
      </c>
      <c r="E5" s="14" t="s">
        <v>589</v>
      </c>
      <c r="F5" s="15" t="n">
        <f aca="false">SUM(G5:L5)</f>
        <v>8</v>
      </c>
      <c r="G5" s="15" t="n">
        <f aca="false">COUNTIFS('Normal User'!$G$3:$G$60,$A5,'Normal User'!$H$3:$H$60,"S1")+COUNTIFS('Disaster Management'!$G$3:$G$60,$A5,'Disaster Management'!$H$3:$H$60,"S1")+COUNTIFS('Application Management'!$G$3:$G$60,$A5,'Application Management'!$H$3:$H$60,"S1")+COUNTIFS('External Parties'!$G$3:$G$60,$A5,'External Parties'!$H$3:$H$60,"S1")</f>
        <v>2</v>
      </c>
      <c r="H5" s="15" t="n">
        <f aca="false">COUNTIFS('Normal User'!$G$3:$G$60,$A5,'Normal User'!$H$3:$H$60,"S2")+COUNTIFS('Disaster Management'!$G$3:$G$60,$A5,'Disaster Management'!$H$3:$H$60,"S2")+COUNTIFS('Application Management'!$G$3:$G$60,$A5,'Application Management'!$H$3:$H$60,"S2")+COUNTIFS('External Parties'!$G$3:$G$60,$A5,'External Parties'!$H$3:$H$60,"S2")</f>
        <v>5</v>
      </c>
      <c r="I5" s="15" t="n">
        <f aca="false">COUNTIFS('Normal User'!$G$3:$G$60,$A5,'Normal User'!$H$3:$H$60,"S3")+COUNTIFS('Disaster Management'!$G$3:$G$60,$A5,'Disaster Management'!$H$3:$H$60,"S3")+COUNTIFS('Application Management'!$G$3:$G$60,$A5,'Application Management'!$H$3:$H$60,"S3")+COUNTIFS('External Parties'!$G$3:$G$60,$A5,'External Parties'!$H$3:$H$60,"S3")</f>
        <v>0</v>
      </c>
      <c r="J5" s="15" t="n">
        <f aca="false">COUNTIFS('Normal User'!$G$3:$G$60,$A5,'Normal User'!$H$3:$H$60,"S4")+COUNTIFS('Disaster Management'!$G$3:$G$60,$A5,'Disaster Management'!$H$3:$H$60,"S4")+COUNTIFS('Application Management'!$G$3:$G$60,$A5,'Application Management'!$H$3:$H$60,"S4")+COUNTIFS('External Parties'!$G$3:$G$60,$A5,'External Parties'!$H$3:$H$60,"S4")</f>
        <v>0</v>
      </c>
      <c r="K5" s="15" t="n">
        <f aca="false">COUNTIFS('Normal User'!$G$3:$G$60,$A5,'Normal User'!$H$3:$H$60,"S5")+COUNTIFS('Disaster Management'!$G$3:$G$60,$A5,'Disaster Management'!$H$3:$H$60,"S5")+COUNTIFS('Application Management'!$G$3:$G$60,$A5,'Application Management'!$H$3:$H$60,"S5")+COUNTIFS('External Parties'!$G$3:$G$60,$A5,'External Parties'!$H$3:$H$60,"S5")</f>
        <v>1</v>
      </c>
      <c r="L5" s="15" t="n">
        <f aca="false">COUNTIFS('Normal User'!$G$3:$G$60,$A5,'Normal User'!$H$3:$H$60,"Cond")+COUNTIFS('Disaster Management'!$G$3:$G$60,$A5,'Disaster Management'!$H$3:$H$60,"Cond")+COUNTIFS('Application Management'!$G$3:$G$60,$A5,'Application Management'!$H$3:$H$60,"Cond")+COUNTIFS('External Parties'!$G$3:$G$60,$A5,'External Parties'!$H$3:$H$60,"Cond")</f>
        <v>0</v>
      </c>
      <c r="M5" s="14" t="s">
        <v>590</v>
      </c>
    </row>
    <row r="6" customFormat="false" ht="69.75" hidden="false" customHeight="true" outlineLevel="0" collapsed="false">
      <c r="A6" s="14" t="s">
        <v>27</v>
      </c>
      <c r="B6" s="14" t="s">
        <v>591</v>
      </c>
      <c r="C6" s="14" t="s">
        <v>592</v>
      </c>
      <c r="D6" s="14" t="s">
        <v>593</v>
      </c>
      <c r="E6" s="14" t="s">
        <v>594</v>
      </c>
      <c r="F6" s="15" t="n">
        <f aca="false">SUM(G6:L6)</f>
        <v>13</v>
      </c>
      <c r="G6" s="15" t="n">
        <f aca="false">COUNTIFS('Normal User'!$G$3:$G$60,$A6,'Normal User'!$H$3:$H$60,"S1")+COUNTIFS('Disaster Management'!$G$3:$G$60,$A6,'Disaster Management'!$H$3:$H$60,"S1")+COUNTIFS('Application Management'!$G$3:$G$60,$A6,'Application Management'!$H$3:$H$60,"S1")+COUNTIFS('External Parties'!$G$3:$G$60,$A6,'External Parties'!$H$3:$H$60,"S1")</f>
        <v>0</v>
      </c>
      <c r="H6" s="15" t="n">
        <f aca="false">COUNTIFS('Normal User'!$G$3:$G$60,$A6,'Normal User'!$H$3:$H$60,"S2")+COUNTIFS('Disaster Management'!$G$3:$G$60,$A6,'Disaster Management'!$H$3:$H$60,"S2")+COUNTIFS('Application Management'!$G$3:$G$60,$A6,'Application Management'!$H$3:$H$60,"S2")+COUNTIFS('External Parties'!$G$3:$G$60,$A6,'External Parties'!$H$3:$H$60,"S2")</f>
        <v>11</v>
      </c>
      <c r="I6" s="15" t="n">
        <f aca="false">COUNTIFS('Normal User'!$G$3:$G$60,$A6,'Normal User'!$H$3:$H$60,"S3")+COUNTIFS('Disaster Management'!$G$3:$G$60,$A6,'Disaster Management'!$H$3:$H$60,"S3")+COUNTIFS('Application Management'!$G$3:$G$60,$A6,'Application Management'!$H$3:$H$60,"S3")+COUNTIFS('External Parties'!$G$3:$G$60,$A6,'External Parties'!$H$3:$H$60,"S3")</f>
        <v>0</v>
      </c>
      <c r="J6" s="15" t="n">
        <f aca="false">COUNTIFS('Normal User'!$G$3:$G$60,$A6,'Normal User'!$H$3:$H$60,"S4")+COUNTIFS('Disaster Management'!$G$3:$G$60,$A6,'Disaster Management'!$H$3:$H$60,"S4")+COUNTIFS('Application Management'!$G$3:$G$60,$A6,'Application Management'!$H$3:$H$60,"S4")+COUNTIFS('External Parties'!$G$3:$G$60,$A6,'External Parties'!$H$3:$H$60,"S4")</f>
        <v>0</v>
      </c>
      <c r="K6" s="15" t="n">
        <f aca="false">COUNTIFS('Normal User'!$G$3:$G$60,$A6,'Normal User'!$H$3:$H$60,"S5")+COUNTIFS('Disaster Management'!$G$3:$G$60,$A6,'Disaster Management'!$H$3:$H$60,"S5")+COUNTIFS('Application Management'!$G$3:$G$60,$A6,'Application Management'!$H$3:$H$60,"S5")+COUNTIFS('External Parties'!$G$3:$G$60,$A6,'External Parties'!$H$3:$H$60,"S5")</f>
        <v>0</v>
      </c>
      <c r="L6" s="15" t="n">
        <f aca="false">COUNTIFS('Normal User'!$G$3:$G$60,$A6,'Normal User'!$H$3:$H$60,"Cond")+COUNTIFS('Disaster Management'!$G$3:$G$60,$A6,'Disaster Management'!$H$3:$H$60,"Cond")+COUNTIFS('Application Management'!$G$3:$G$60,$A6,'Application Management'!$H$3:$H$60,"Cond")+COUNTIFS('External Parties'!$G$3:$G$60,$A6,'External Parties'!$H$3:$H$60,"Cond")</f>
        <v>2</v>
      </c>
      <c r="M6" s="14" t="s">
        <v>595</v>
      </c>
    </row>
    <row r="7" customFormat="false" ht="69.75" hidden="false" customHeight="true" outlineLevel="0" collapsed="false">
      <c r="A7" s="14" t="s">
        <v>208</v>
      </c>
      <c r="B7" s="14" t="s">
        <v>596</v>
      </c>
      <c r="C7" s="14" t="s">
        <v>597</v>
      </c>
      <c r="D7" s="14" t="s">
        <v>598</v>
      </c>
      <c r="E7" s="14" t="s">
        <v>599</v>
      </c>
      <c r="F7" s="15" t="n">
        <f aca="false">SUM(G7:L7)</f>
        <v>5</v>
      </c>
      <c r="G7" s="15" t="n">
        <f aca="false">COUNTIFS('Normal User'!$G$3:$G$60,$A7,'Normal User'!$H$3:$H$60,"S1")+COUNTIFS('Disaster Management'!$G$3:$G$60,$A7,'Disaster Management'!$H$3:$H$60,"S1")+COUNTIFS('Application Management'!$G$3:$G$60,$A7,'Application Management'!$H$3:$H$60,"S1")+COUNTIFS('External Parties'!$G$3:$G$60,$A7,'External Parties'!$H$3:$H$60,"S1")</f>
        <v>0</v>
      </c>
      <c r="H7" s="15" t="n">
        <f aca="false">COUNTIFS('Normal User'!$G$3:$G$60,$A7,'Normal User'!$H$3:$H$60,"S2")+COUNTIFS('Disaster Management'!$G$3:$G$60,$A7,'Disaster Management'!$H$3:$H$60,"S2")+COUNTIFS('Application Management'!$G$3:$G$60,$A7,'Application Management'!$H$3:$H$60,"S2")+COUNTIFS('External Parties'!$G$3:$G$60,$A7,'External Parties'!$H$3:$H$60,"S2")</f>
        <v>5</v>
      </c>
      <c r="I7" s="15" t="n">
        <f aca="false">COUNTIFS('Normal User'!$G$3:$G$60,$A7,'Normal User'!$H$3:$H$60,"S3")+COUNTIFS('Disaster Management'!$G$3:$G$60,$A7,'Disaster Management'!$H$3:$H$60,"S3")+COUNTIFS('Application Management'!$G$3:$G$60,$A7,'Application Management'!$H$3:$H$60,"S3")+COUNTIFS('External Parties'!$G$3:$G$60,$A7,'External Parties'!$H$3:$H$60,"S3")</f>
        <v>0</v>
      </c>
      <c r="J7" s="15" t="n">
        <f aca="false">COUNTIFS('Normal User'!$G$3:$G$60,$A7,'Normal User'!$H$3:$H$60,"S4")+COUNTIFS('Disaster Management'!$G$3:$G$60,$A7,'Disaster Management'!$H$3:$H$60,"S4")+COUNTIFS('Application Management'!$G$3:$G$60,$A7,'Application Management'!$H$3:$H$60,"S4")+COUNTIFS('External Parties'!$G$3:$G$60,$A7,'External Parties'!$H$3:$H$60,"S4")</f>
        <v>0</v>
      </c>
      <c r="K7" s="15" t="n">
        <f aca="false">COUNTIFS('Normal User'!$G$3:$G$60,$A7,'Normal User'!$H$3:$H$60,"S5")+COUNTIFS('Disaster Management'!$G$3:$G$60,$A7,'Disaster Management'!$H$3:$H$60,"S5")+COUNTIFS('Application Management'!$G$3:$G$60,$A7,'Application Management'!$H$3:$H$60,"S5")+COUNTIFS('External Parties'!$G$3:$G$60,$A7,'External Parties'!$H$3:$H$60,"S5")</f>
        <v>0</v>
      </c>
      <c r="L7" s="15" t="n">
        <f aca="false">COUNTIFS('Normal User'!$G$3:$G$60,$A7,'Normal User'!$H$3:$H$60,"Cond")+COUNTIFS('Disaster Management'!$G$3:$G$60,$A7,'Disaster Management'!$H$3:$H$60,"Cond")+COUNTIFS('Application Management'!$G$3:$G$60,$A7,'Application Management'!$H$3:$H$60,"Cond")+COUNTIFS('External Parties'!$G$3:$G$60,$A7,'External Parties'!$H$3:$H$60,"Cond")</f>
        <v>0</v>
      </c>
      <c r="M7" s="14" t="s">
        <v>600</v>
      </c>
    </row>
    <row r="8" customFormat="false" ht="69.75" hidden="false" customHeight="true" outlineLevel="0" collapsed="false">
      <c r="A8" s="14" t="s">
        <v>230</v>
      </c>
      <c r="B8" s="14" t="s">
        <v>601</v>
      </c>
      <c r="C8" s="14" t="s">
        <v>602</v>
      </c>
      <c r="D8" s="14" t="s">
        <v>603</v>
      </c>
      <c r="E8" s="14" t="s">
        <v>604</v>
      </c>
      <c r="F8" s="15" t="n">
        <f aca="false">SUM(G8:L8)</f>
        <v>6</v>
      </c>
      <c r="G8" s="15" t="n">
        <f aca="false">COUNTIFS('Normal User'!$G$3:$G$60,$A8,'Normal User'!$H$3:$H$60,"S1")+COUNTIFS('Disaster Management'!$G$3:$G$60,$A8,'Disaster Management'!$H$3:$H$60,"S1")+COUNTIFS('Application Management'!$G$3:$G$60,$A8,'Application Management'!$H$3:$H$60,"S1")+COUNTIFS('External Parties'!$G$3:$G$60,$A8,'External Parties'!$H$3:$H$60,"S1")</f>
        <v>0</v>
      </c>
      <c r="H8" s="15" t="n">
        <f aca="false">COUNTIFS('Normal User'!$G$3:$G$60,$A8,'Normal User'!$H$3:$H$60,"S2")+COUNTIFS('Disaster Management'!$G$3:$G$60,$A8,'Disaster Management'!$H$3:$H$60,"S2")+COUNTIFS('Application Management'!$G$3:$G$60,$A8,'Application Management'!$H$3:$H$60,"S2")+COUNTIFS('External Parties'!$G$3:$G$60,$A8,'External Parties'!$H$3:$H$60,"S2")</f>
        <v>0</v>
      </c>
      <c r="I8" s="15" t="n">
        <f aca="false">COUNTIFS('Normal User'!$G$3:$G$60,$A8,'Normal User'!$H$3:$H$60,"S3")+COUNTIFS('Disaster Management'!$G$3:$G$60,$A8,'Disaster Management'!$H$3:$H$60,"S3")+COUNTIFS('Application Management'!$G$3:$G$60,$A8,'Application Management'!$H$3:$H$60,"S3")+COUNTIFS('External Parties'!$G$3:$G$60,$A8,'External Parties'!$H$3:$H$60,"S3")</f>
        <v>6</v>
      </c>
      <c r="J8" s="15" t="n">
        <f aca="false">COUNTIFS('Normal User'!$G$3:$G$60,$A8,'Normal User'!$H$3:$H$60,"S4")+COUNTIFS('Disaster Management'!$G$3:$G$60,$A8,'Disaster Management'!$H$3:$H$60,"S4")+COUNTIFS('Application Management'!$G$3:$G$60,$A8,'Application Management'!$H$3:$H$60,"S4")+COUNTIFS('External Parties'!$G$3:$G$60,$A8,'External Parties'!$H$3:$H$60,"S4")</f>
        <v>0</v>
      </c>
      <c r="K8" s="15" t="n">
        <f aca="false">COUNTIFS('Normal User'!$G$3:$G$60,$A8,'Normal User'!$H$3:$H$60,"S5")+COUNTIFS('Disaster Management'!$G$3:$G$60,$A8,'Disaster Management'!$H$3:$H$60,"S5")+COUNTIFS('Application Management'!$G$3:$G$60,$A8,'Application Management'!$H$3:$H$60,"S5")+COUNTIFS('External Parties'!$G$3:$G$60,$A8,'External Parties'!$H$3:$H$60,"S5")</f>
        <v>0</v>
      </c>
      <c r="L8" s="15" t="n">
        <f aca="false">COUNTIFS('Normal User'!$G$3:$G$60,$A8,'Normal User'!$H$3:$H$60,"Cond")+COUNTIFS('Disaster Management'!$G$3:$G$60,$A8,'Disaster Management'!$H$3:$H$60,"Cond")+COUNTIFS('Application Management'!$G$3:$G$60,$A8,'Application Management'!$H$3:$H$60,"Cond")+COUNTIFS('External Parties'!$G$3:$G$60,$A8,'External Parties'!$H$3:$H$60,"Cond")</f>
        <v>0</v>
      </c>
      <c r="M8" s="14" t="s">
        <v>605</v>
      </c>
    </row>
    <row r="9" customFormat="false" ht="69.75" hidden="false" customHeight="true" outlineLevel="0" collapsed="false">
      <c r="A9" s="14" t="s">
        <v>244</v>
      </c>
      <c r="B9" s="14" t="s">
        <v>606</v>
      </c>
      <c r="C9" s="14" t="s">
        <v>607</v>
      </c>
      <c r="D9" s="14" t="s">
        <v>608</v>
      </c>
      <c r="E9" s="14" t="s">
        <v>609</v>
      </c>
      <c r="F9" s="15" t="n">
        <f aca="false">SUM(G9:L9)</f>
        <v>3</v>
      </c>
      <c r="G9" s="15" t="n">
        <f aca="false">COUNTIFS('Normal User'!$G$3:$G$60,$A9,'Normal User'!$H$3:$H$60,"S1")+COUNTIFS('Disaster Management'!$G$3:$G$60,$A9,'Disaster Management'!$H$3:$H$60,"S1")+COUNTIFS('Application Management'!$G$3:$G$60,$A9,'Application Management'!$H$3:$H$60,"S1")+COUNTIFS('External Parties'!$G$3:$G$60,$A9,'External Parties'!$H$3:$H$60,"S1")</f>
        <v>1</v>
      </c>
      <c r="H9" s="15" t="n">
        <f aca="false">COUNTIFS('Normal User'!$G$3:$G$60,$A9,'Normal User'!$H$3:$H$60,"S2")+COUNTIFS('Disaster Management'!$G$3:$G$60,$A9,'Disaster Management'!$H$3:$H$60,"S2")+COUNTIFS('Application Management'!$G$3:$G$60,$A9,'Application Management'!$H$3:$H$60,"S2")+COUNTIFS('External Parties'!$G$3:$G$60,$A9,'External Parties'!$H$3:$H$60,"S2")</f>
        <v>0</v>
      </c>
      <c r="I9" s="15" t="n">
        <f aca="false">COUNTIFS('Normal User'!$G$3:$G$60,$A9,'Normal User'!$H$3:$H$60,"S3")+COUNTIFS('Disaster Management'!$G$3:$G$60,$A9,'Disaster Management'!$H$3:$H$60,"S3")+COUNTIFS('Application Management'!$G$3:$G$60,$A9,'Application Management'!$H$3:$H$60,"S3")+COUNTIFS('External Parties'!$G$3:$G$60,$A9,'External Parties'!$H$3:$H$60,"S3")</f>
        <v>2</v>
      </c>
      <c r="J9" s="15" t="n">
        <f aca="false">COUNTIFS('Normal User'!$G$3:$G$60,$A9,'Normal User'!$H$3:$H$60,"S4")+COUNTIFS('Disaster Management'!$G$3:$G$60,$A9,'Disaster Management'!$H$3:$H$60,"S4")+COUNTIFS('Application Management'!$G$3:$G$60,$A9,'Application Management'!$H$3:$H$60,"S4")+COUNTIFS('External Parties'!$G$3:$G$60,$A9,'External Parties'!$H$3:$H$60,"S4")</f>
        <v>0</v>
      </c>
      <c r="K9" s="15" t="n">
        <f aca="false">COUNTIFS('Normal User'!$G$3:$G$60,$A9,'Normal User'!$H$3:$H$60,"S5")+COUNTIFS('Disaster Management'!$G$3:$G$60,$A9,'Disaster Management'!$H$3:$H$60,"S5")+COUNTIFS('Application Management'!$G$3:$G$60,$A9,'Application Management'!$H$3:$H$60,"S5")+COUNTIFS('External Parties'!$G$3:$G$60,$A9,'External Parties'!$H$3:$H$60,"S5")</f>
        <v>0</v>
      </c>
      <c r="L9" s="15" t="n">
        <f aca="false">COUNTIFS('Normal User'!$G$3:$G$60,$A9,'Normal User'!$H$3:$H$60,"Cond")+COUNTIFS('Disaster Management'!$G$3:$G$60,$A9,'Disaster Management'!$H$3:$H$60,"Cond")+COUNTIFS('Application Management'!$G$3:$G$60,$A9,'Application Management'!$H$3:$H$60,"Cond")+COUNTIFS('External Parties'!$G$3:$G$60,$A9,'External Parties'!$H$3:$H$60,"Cond")</f>
        <v>0</v>
      </c>
      <c r="M9" s="14" t="s">
        <v>610</v>
      </c>
    </row>
    <row r="10" customFormat="false" ht="69.75" hidden="false" customHeight="true" outlineLevel="0" collapsed="false">
      <c r="A10" s="14" t="s">
        <v>179</v>
      </c>
      <c r="B10" s="14" t="s">
        <v>611</v>
      </c>
      <c r="C10" s="14" t="s">
        <v>612</v>
      </c>
      <c r="D10" s="14" t="s">
        <v>613</v>
      </c>
      <c r="E10" s="14" t="s">
        <v>614</v>
      </c>
      <c r="F10" s="15" t="n">
        <f aca="false">SUM(G10:L10)</f>
        <v>13</v>
      </c>
      <c r="G10" s="15" t="n">
        <f aca="false">COUNTIFS('Normal User'!$G$3:$G$60,$A10,'Normal User'!$H$3:$H$60,"S1")+COUNTIFS('Disaster Management'!$G$3:$G$60,$A10,'Disaster Management'!$H$3:$H$60,"S1")+COUNTIFS('Application Management'!$G$3:$G$60,$A10,'Application Management'!$H$3:$H$60,"S1")+COUNTIFS('External Parties'!$G$3:$G$60,$A10,'External Parties'!$H$3:$H$60,"S1")</f>
        <v>0</v>
      </c>
      <c r="H10" s="15" t="n">
        <f aca="false">COUNTIFS('Normal User'!$G$3:$G$60,$A10,'Normal User'!$H$3:$H$60,"S2")+COUNTIFS('Disaster Management'!$G$3:$G$60,$A10,'Disaster Management'!$H$3:$H$60,"S2")+COUNTIFS('Application Management'!$G$3:$G$60,$A10,'Application Management'!$H$3:$H$60,"S2")+COUNTIFS('External Parties'!$G$3:$G$60,$A10,'External Parties'!$H$3:$H$60,"S2")</f>
        <v>0</v>
      </c>
      <c r="I10" s="15" t="n">
        <f aca="false">COUNTIFS('Normal User'!$G$3:$G$60,$A10,'Normal User'!$H$3:$H$60,"S3")+COUNTIFS('Disaster Management'!$G$3:$G$60,$A10,'Disaster Management'!$H$3:$H$60,"S3")+COUNTIFS('Application Management'!$G$3:$G$60,$A10,'Application Management'!$H$3:$H$60,"S3")+COUNTIFS('External Parties'!$G$3:$G$60,$A10,'External Parties'!$H$3:$H$60,"S3")</f>
        <v>12</v>
      </c>
      <c r="J10" s="15" t="n">
        <f aca="false">COUNTIFS('Normal User'!$G$3:$G$60,$A10,'Normal User'!$H$3:$H$60,"S4")+COUNTIFS('Disaster Management'!$G$3:$G$60,$A10,'Disaster Management'!$H$3:$H$60,"S4")+COUNTIFS('Application Management'!$G$3:$G$60,$A10,'Application Management'!$H$3:$H$60,"S4")+COUNTIFS('External Parties'!$G$3:$G$60,$A10,'External Parties'!$H$3:$H$60,"S4")</f>
        <v>0</v>
      </c>
      <c r="K10" s="15" t="n">
        <f aca="false">COUNTIFS('Normal User'!$G$3:$G$60,$A10,'Normal User'!$H$3:$H$60,"S5")+COUNTIFS('Disaster Management'!$G$3:$G$60,$A10,'Disaster Management'!$H$3:$H$60,"S5")+COUNTIFS('Application Management'!$G$3:$G$60,$A10,'Application Management'!$H$3:$H$60,"S5")+COUNTIFS('External Parties'!$G$3:$G$60,$A10,'External Parties'!$H$3:$H$60,"S5")</f>
        <v>0</v>
      </c>
      <c r="L10" s="15" t="n">
        <f aca="false">COUNTIFS('Normal User'!$G$3:$G$60,$A10,'Normal User'!$H$3:$H$60,"Cond")+COUNTIFS('Disaster Management'!$G$3:$G$60,$A10,'Disaster Management'!$H$3:$H$60,"Cond")+COUNTIFS('Application Management'!$G$3:$G$60,$A10,'Application Management'!$H$3:$H$60,"Cond")+COUNTIFS('External Parties'!$G$3:$G$60,$A10,'External Parties'!$H$3:$H$60,"Cond")</f>
        <v>1</v>
      </c>
      <c r="M10" s="14" t="s">
        <v>615</v>
      </c>
    </row>
    <row r="11" customFormat="false" ht="69.75" hidden="false" customHeight="true" outlineLevel="0" collapsed="false">
      <c r="A11" s="14" t="s">
        <v>61</v>
      </c>
      <c r="B11" s="14" t="s">
        <v>616</v>
      </c>
      <c r="C11" s="14" t="s">
        <v>617</v>
      </c>
      <c r="D11" s="14" t="s">
        <v>618</v>
      </c>
      <c r="E11" s="14" t="s">
        <v>619</v>
      </c>
      <c r="F11" s="15" t="n">
        <f aca="false">SUM(G11:L11)</f>
        <v>12</v>
      </c>
      <c r="G11" s="15" t="n">
        <f aca="false">COUNTIFS('Normal User'!$G$3:$G$60,$A11,'Normal User'!$H$3:$H$60,"S1")+COUNTIFS('Disaster Management'!$G$3:$G$60,$A11,'Disaster Management'!$H$3:$H$60,"S1")+COUNTIFS('Application Management'!$G$3:$G$60,$A11,'Application Management'!$H$3:$H$60,"S1")+COUNTIFS('External Parties'!$G$3:$G$60,$A11,'External Parties'!$H$3:$H$60,"S1")</f>
        <v>0</v>
      </c>
      <c r="H11" s="15" t="n">
        <f aca="false">COUNTIFS('Normal User'!$G$3:$G$60,$A11,'Normal User'!$H$3:$H$60,"S2")+COUNTIFS('Disaster Management'!$G$3:$G$60,$A11,'Disaster Management'!$H$3:$H$60,"S2")+COUNTIFS('Application Management'!$G$3:$G$60,$A11,'Application Management'!$H$3:$H$60,"S2")+COUNTIFS('External Parties'!$G$3:$G$60,$A11,'External Parties'!$H$3:$H$60,"S2")</f>
        <v>0</v>
      </c>
      <c r="I11" s="15" t="n">
        <f aca="false">COUNTIFS('Normal User'!$G$3:$G$60,$A11,'Normal User'!$H$3:$H$60,"S3")+COUNTIFS('Disaster Management'!$G$3:$G$60,$A11,'Disaster Management'!$H$3:$H$60,"S3")+COUNTIFS('Application Management'!$G$3:$G$60,$A11,'Application Management'!$H$3:$H$60,"S3")+COUNTIFS('External Parties'!$G$3:$G$60,$A11,'External Parties'!$H$3:$H$60,"S3")</f>
        <v>0</v>
      </c>
      <c r="J11" s="15" t="n">
        <f aca="false">COUNTIFS('Normal User'!$G$3:$G$60,$A11,'Normal User'!$H$3:$H$60,"S4")+COUNTIFS('Disaster Management'!$G$3:$G$60,$A11,'Disaster Management'!$H$3:$H$60,"S4")+COUNTIFS('Application Management'!$G$3:$G$60,$A11,'Application Management'!$H$3:$H$60,"S4")+COUNTIFS('External Parties'!$G$3:$G$60,$A11,'External Parties'!$H$3:$H$60,"S4")</f>
        <v>11</v>
      </c>
      <c r="K11" s="15" t="n">
        <f aca="false">COUNTIFS('Normal User'!$G$3:$G$60,$A11,'Normal User'!$H$3:$H$60,"S5")+COUNTIFS('Disaster Management'!$G$3:$G$60,$A11,'Disaster Management'!$H$3:$H$60,"S5")+COUNTIFS('Application Management'!$G$3:$G$60,$A11,'Application Management'!$H$3:$H$60,"S5")+COUNTIFS('External Parties'!$G$3:$G$60,$A11,'External Parties'!$H$3:$H$60,"S5")</f>
        <v>1</v>
      </c>
      <c r="L11" s="15" t="n">
        <f aca="false">COUNTIFS('Normal User'!$G$3:$G$60,$A11,'Normal User'!$H$3:$H$60,"Cond")+COUNTIFS('Disaster Management'!$G$3:$G$60,$A11,'Disaster Management'!$H$3:$H$60,"Cond")+COUNTIFS('Application Management'!$G$3:$G$60,$A11,'Application Management'!$H$3:$H$60,"Cond")+COUNTIFS('External Parties'!$G$3:$G$60,$A11,'External Parties'!$H$3:$H$60,"Cond")</f>
        <v>0</v>
      </c>
      <c r="M11" s="14" t="s">
        <v>620</v>
      </c>
    </row>
    <row r="12" customFormat="false" ht="69.75" hidden="false" customHeight="true" outlineLevel="0" collapsed="false">
      <c r="A12" s="14" t="s">
        <v>94</v>
      </c>
      <c r="B12" s="14" t="s">
        <v>621</v>
      </c>
      <c r="C12" s="14" t="s">
        <v>622</v>
      </c>
      <c r="D12" s="14" t="s">
        <v>623</v>
      </c>
      <c r="E12" s="14" t="s">
        <v>624</v>
      </c>
      <c r="F12" s="15" t="n">
        <f aca="false">SUM(G12:L12)</f>
        <v>4</v>
      </c>
      <c r="G12" s="15" t="n">
        <f aca="false">COUNTIFS('Normal User'!$G$3:$G$60,$A12,'Normal User'!$H$3:$H$60,"S1")+COUNTIFS('Disaster Management'!$G$3:$G$60,$A12,'Disaster Management'!$H$3:$H$60,"S1")+COUNTIFS('Application Management'!$G$3:$G$60,$A12,'Application Management'!$H$3:$H$60,"S1")+COUNTIFS('External Parties'!$G$3:$G$60,$A12,'External Parties'!$H$3:$H$60,"S1")</f>
        <v>0</v>
      </c>
      <c r="H12" s="15" t="n">
        <f aca="false">COUNTIFS('Normal User'!$G$3:$G$60,$A12,'Normal User'!$H$3:$H$60,"S2")+COUNTIFS('Disaster Management'!$G$3:$G$60,$A12,'Disaster Management'!$H$3:$H$60,"S2")+COUNTIFS('Application Management'!$G$3:$G$60,$A12,'Application Management'!$H$3:$H$60,"S2")+COUNTIFS('External Parties'!$G$3:$G$60,$A12,'External Parties'!$H$3:$H$60,"S2")</f>
        <v>0</v>
      </c>
      <c r="I12" s="15" t="n">
        <f aca="false">COUNTIFS('Normal User'!$G$3:$G$60,$A12,'Normal User'!$H$3:$H$60,"S3")+COUNTIFS('Disaster Management'!$G$3:$G$60,$A12,'Disaster Management'!$H$3:$H$60,"S3")+COUNTIFS('Application Management'!$G$3:$G$60,$A12,'Application Management'!$H$3:$H$60,"S3")+COUNTIFS('External Parties'!$G$3:$G$60,$A12,'External Parties'!$H$3:$H$60,"S3")</f>
        <v>0</v>
      </c>
      <c r="J12" s="15" t="n">
        <f aca="false">COUNTIFS('Normal User'!$G$3:$G$60,$A12,'Normal User'!$H$3:$H$60,"S4")+COUNTIFS('Disaster Management'!$G$3:$G$60,$A12,'Disaster Management'!$H$3:$H$60,"S4")+COUNTIFS('Application Management'!$G$3:$G$60,$A12,'Application Management'!$H$3:$H$60,"S4")+COUNTIFS('External Parties'!$G$3:$G$60,$A12,'External Parties'!$H$3:$H$60,"S4")</f>
        <v>3</v>
      </c>
      <c r="K12" s="15" t="n">
        <f aca="false">COUNTIFS('Normal User'!$G$3:$G$60,$A12,'Normal User'!$H$3:$H$60,"S5")+COUNTIFS('Disaster Management'!$G$3:$G$60,$A12,'Disaster Management'!$H$3:$H$60,"S5")+COUNTIFS('Application Management'!$G$3:$G$60,$A12,'Application Management'!$H$3:$H$60,"S5")+COUNTIFS('External Parties'!$G$3:$G$60,$A12,'External Parties'!$H$3:$H$60,"S5")</f>
        <v>0</v>
      </c>
      <c r="L12" s="15" t="n">
        <f aca="false">COUNTIFS('Normal User'!$G$3:$G$60,$A12,'Normal User'!$H$3:$H$60,"Cond")+COUNTIFS('Disaster Management'!$G$3:$G$60,$A12,'Disaster Management'!$H$3:$H$60,"Cond")+COUNTIFS('Application Management'!$G$3:$G$60,$A12,'Application Management'!$H$3:$H$60,"Cond")+COUNTIFS('External Parties'!$G$3:$G$60,$A12,'External Parties'!$H$3:$H$60,"Cond")</f>
        <v>1</v>
      </c>
      <c r="M12" s="14" t="s">
        <v>625</v>
      </c>
    </row>
    <row r="13" customFormat="false" ht="69.75" hidden="false" customHeight="true" outlineLevel="0" collapsed="false">
      <c r="A13" s="14" t="s">
        <v>77</v>
      </c>
      <c r="B13" s="14" t="s">
        <v>626</v>
      </c>
      <c r="C13" s="14" t="s">
        <v>627</v>
      </c>
      <c r="D13" s="14" t="s">
        <v>623</v>
      </c>
      <c r="E13" s="14" t="s">
        <v>628</v>
      </c>
      <c r="F13" s="15" t="n">
        <f aca="false">SUM(G13:L13)</f>
        <v>5</v>
      </c>
      <c r="G13" s="15" t="n">
        <f aca="false">COUNTIFS('Normal User'!$G$3:$G$60,$A13,'Normal User'!$H$3:$H$60,"S1")+COUNTIFS('Disaster Management'!$G$3:$G$60,$A13,'Disaster Management'!$H$3:$H$60,"S1")+COUNTIFS('Application Management'!$G$3:$G$60,$A13,'Application Management'!$H$3:$H$60,"S1")+COUNTIFS('External Parties'!$G$3:$G$60,$A13,'External Parties'!$H$3:$H$60,"S1")</f>
        <v>0</v>
      </c>
      <c r="H13" s="15" t="n">
        <f aca="false">COUNTIFS('Normal User'!$G$3:$G$60,$A13,'Normal User'!$H$3:$H$60,"S2")+COUNTIFS('Disaster Management'!$G$3:$G$60,$A13,'Disaster Management'!$H$3:$H$60,"S2")+COUNTIFS('Application Management'!$G$3:$G$60,$A13,'Application Management'!$H$3:$H$60,"S2")+COUNTIFS('External Parties'!$G$3:$G$60,$A13,'External Parties'!$H$3:$H$60,"S2")</f>
        <v>0</v>
      </c>
      <c r="I13" s="15" t="n">
        <f aca="false">COUNTIFS('Normal User'!$G$3:$G$60,$A13,'Normal User'!$H$3:$H$60,"S3")+COUNTIFS('Disaster Management'!$G$3:$G$60,$A13,'Disaster Management'!$H$3:$H$60,"S3")+COUNTIFS('Application Management'!$G$3:$G$60,$A13,'Application Management'!$H$3:$H$60,"S3")+COUNTIFS('External Parties'!$G$3:$G$60,$A13,'External Parties'!$H$3:$H$60,"S3")</f>
        <v>0</v>
      </c>
      <c r="J13" s="15" t="n">
        <f aca="false">COUNTIFS('Normal User'!$G$3:$G$60,$A13,'Normal User'!$H$3:$H$60,"S4")+COUNTIFS('Disaster Management'!$G$3:$G$60,$A13,'Disaster Management'!$H$3:$H$60,"S4")+COUNTIFS('Application Management'!$G$3:$G$60,$A13,'Application Management'!$H$3:$H$60,"S4")+COUNTIFS('External Parties'!$G$3:$G$60,$A13,'External Parties'!$H$3:$H$60,"S4")</f>
        <v>4</v>
      </c>
      <c r="K13" s="15" t="n">
        <f aca="false">COUNTIFS('Normal User'!$G$3:$G$60,$A13,'Normal User'!$H$3:$H$60,"S5")+COUNTIFS('Disaster Management'!$G$3:$G$60,$A13,'Disaster Management'!$H$3:$H$60,"S5")+COUNTIFS('Application Management'!$G$3:$G$60,$A13,'Application Management'!$H$3:$H$60,"S5")+COUNTIFS('External Parties'!$G$3:$G$60,$A13,'External Parties'!$H$3:$H$60,"S5")</f>
        <v>0</v>
      </c>
      <c r="L13" s="15" t="n">
        <f aca="false">COUNTIFS('Normal User'!$G$3:$G$60,$A13,'Normal User'!$H$3:$H$60,"Cond")+COUNTIFS('Disaster Management'!$G$3:$G$60,$A13,'Disaster Management'!$H$3:$H$60,"Cond")+COUNTIFS('Application Management'!$G$3:$G$60,$A13,'Application Management'!$H$3:$H$60,"Cond")+COUNTIFS('External Parties'!$G$3:$G$60,$A13,'External Parties'!$H$3:$H$60,"Cond")</f>
        <v>1</v>
      </c>
      <c r="M13" s="14" t="s">
        <v>629</v>
      </c>
    </row>
    <row r="14" customFormat="false" ht="69.75" hidden="false" customHeight="true" outlineLevel="0" collapsed="false">
      <c r="A14" s="14" t="s">
        <v>290</v>
      </c>
      <c r="B14" s="14" t="s">
        <v>630</v>
      </c>
      <c r="C14" s="14" t="s">
        <v>631</v>
      </c>
      <c r="D14" s="14" t="s">
        <v>598</v>
      </c>
      <c r="E14" s="14" t="s">
        <v>632</v>
      </c>
      <c r="F14" s="15" t="n">
        <f aca="false">SUM(G14:L14)</f>
        <v>3</v>
      </c>
      <c r="G14" s="15" t="n">
        <f aca="false">COUNTIFS('Normal User'!$G$3:$G$60,$A14,'Normal User'!$H$3:$H$60,"S1")+COUNTIFS('Disaster Management'!$G$3:$G$60,$A14,'Disaster Management'!$H$3:$H$60,"S1")+COUNTIFS('Application Management'!$G$3:$G$60,$A14,'Application Management'!$H$3:$H$60,"S1")+COUNTIFS('External Parties'!$G$3:$G$60,$A14,'External Parties'!$H$3:$H$60,"S1")</f>
        <v>0</v>
      </c>
      <c r="H14" s="15" t="n">
        <f aca="false">COUNTIFS('Normal User'!$G$3:$G$60,$A14,'Normal User'!$H$3:$H$60,"S2")+COUNTIFS('Disaster Management'!$G$3:$G$60,$A14,'Disaster Management'!$H$3:$H$60,"S2")+COUNTIFS('Application Management'!$G$3:$G$60,$A14,'Application Management'!$H$3:$H$60,"S2")+COUNTIFS('External Parties'!$G$3:$G$60,$A14,'External Parties'!$H$3:$H$60,"S2")</f>
        <v>0</v>
      </c>
      <c r="I14" s="15" t="n">
        <f aca="false">COUNTIFS('Normal User'!$G$3:$G$60,$A14,'Normal User'!$H$3:$H$60,"S3")+COUNTIFS('Disaster Management'!$G$3:$G$60,$A14,'Disaster Management'!$H$3:$H$60,"S3")+COUNTIFS('Application Management'!$G$3:$G$60,$A14,'Application Management'!$H$3:$H$60,"S3")+COUNTIFS('External Parties'!$G$3:$G$60,$A14,'External Parties'!$H$3:$H$60,"S3")</f>
        <v>0</v>
      </c>
      <c r="J14" s="15" t="n">
        <f aca="false">COUNTIFS('Normal User'!$G$3:$G$60,$A14,'Normal User'!$H$3:$H$60,"S4")+COUNTIFS('Disaster Management'!$G$3:$G$60,$A14,'Disaster Management'!$H$3:$H$60,"S4")+COUNTIFS('Application Management'!$G$3:$G$60,$A14,'Application Management'!$H$3:$H$60,"S4")+COUNTIFS('External Parties'!$G$3:$G$60,$A14,'External Parties'!$H$3:$H$60,"S4")</f>
        <v>0</v>
      </c>
      <c r="K14" s="15" t="n">
        <f aca="false">COUNTIFS('Normal User'!$G$3:$G$60,$A14,'Normal User'!$H$3:$H$60,"S5")+COUNTIFS('Disaster Management'!$G$3:$G$60,$A14,'Disaster Management'!$H$3:$H$60,"S5")+COUNTIFS('Application Management'!$G$3:$G$60,$A14,'Application Management'!$H$3:$H$60,"S5")+COUNTIFS('External Parties'!$G$3:$G$60,$A14,'External Parties'!$H$3:$H$60,"S5")</f>
        <v>3</v>
      </c>
      <c r="L14" s="15" t="n">
        <f aca="false">COUNTIFS('Normal User'!$G$3:$G$60,$A14,'Normal User'!$H$3:$H$60,"Cond")+COUNTIFS('Disaster Management'!$G$3:$G$60,$A14,'Disaster Management'!$H$3:$H$60,"Cond")+COUNTIFS('Application Management'!$G$3:$G$60,$A14,'Application Management'!$H$3:$H$60,"Cond")+COUNTIFS('External Parties'!$G$3:$G$60,$A14,'External Parties'!$H$3:$H$60,"Cond")</f>
        <v>0</v>
      </c>
      <c r="M14" s="14" t="s">
        <v>633</v>
      </c>
    </row>
    <row r="15" customFormat="false" ht="69.75" hidden="false" customHeight="true" outlineLevel="0" collapsed="false">
      <c r="A15" s="14" t="s">
        <v>69</v>
      </c>
      <c r="B15" s="14" t="s">
        <v>634</v>
      </c>
      <c r="C15" s="14" t="s">
        <v>635</v>
      </c>
      <c r="D15" s="14" t="s">
        <v>636</v>
      </c>
      <c r="E15" s="14" t="s">
        <v>637</v>
      </c>
      <c r="F15" s="15" t="n">
        <f aca="false">SUM(G15:L15)</f>
        <v>3</v>
      </c>
      <c r="G15" s="15" t="n">
        <f aca="false">COUNTIFS('Normal User'!$G$3:$G$60,$A15,'Normal User'!$H$3:$H$60,"S1")+COUNTIFS('Disaster Management'!$G$3:$G$60,$A15,'Disaster Management'!$H$3:$H$60,"S1")+COUNTIFS('Application Management'!$G$3:$G$60,$A15,'Application Management'!$H$3:$H$60,"S1")+COUNTIFS('External Parties'!$G$3:$G$60,$A15,'External Parties'!$H$3:$H$60,"S1")</f>
        <v>1</v>
      </c>
      <c r="H15" s="15" t="n">
        <f aca="false">COUNTIFS('Normal User'!$G$3:$G$60,$A15,'Normal User'!$H$3:$H$60,"S2")+COUNTIFS('Disaster Management'!$G$3:$G$60,$A15,'Disaster Management'!$H$3:$H$60,"S2")+COUNTIFS('Application Management'!$G$3:$G$60,$A15,'Application Management'!$H$3:$H$60,"S2")+COUNTIFS('External Parties'!$G$3:$G$60,$A15,'External Parties'!$H$3:$H$60,"S2")</f>
        <v>0</v>
      </c>
      <c r="I15" s="15" t="n">
        <f aca="false">COUNTIFS('Normal User'!$G$3:$G$60,$A15,'Normal User'!$H$3:$H$60,"S3")+COUNTIFS('Disaster Management'!$G$3:$G$60,$A15,'Disaster Management'!$H$3:$H$60,"S3")+COUNTIFS('Application Management'!$G$3:$G$60,$A15,'Application Management'!$H$3:$H$60,"S3")+COUNTIFS('External Parties'!$G$3:$G$60,$A15,'External Parties'!$H$3:$H$60,"S3")</f>
        <v>1</v>
      </c>
      <c r="J15" s="15" t="n">
        <f aca="false">COUNTIFS('Normal User'!$G$3:$G$60,$A15,'Normal User'!$H$3:$H$60,"S4")+COUNTIFS('Disaster Management'!$G$3:$G$60,$A15,'Disaster Management'!$H$3:$H$60,"S4")+COUNTIFS('Application Management'!$G$3:$G$60,$A15,'Application Management'!$H$3:$H$60,"S4")+COUNTIFS('External Parties'!$G$3:$G$60,$A15,'External Parties'!$H$3:$H$60,"S4")</f>
        <v>0</v>
      </c>
      <c r="K15" s="15" t="n">
        <f aca="false">COUNTIFS('Normal User'!$G$3:$G$60,$A15,'Normal User'!$H$3:$H$60,"S5")+COUNTIFS('Disaster Management'!$G$3:$G$60,$A15,'Disaster Management'!$H$3:$H$60,"S5")+COUNTIFS('Application Management'!$G$3:$G$60,$A15,'Application Management'!$H$3:$H$60,"S5")+COUNTIFS('External Parties'!$G$3:$G$60,$A15,'External Parties'!$H$3:$H$60,"S5")</f>
        <v>1</v>
      </c>
      <c r="L15" s="15" t="n">
        <f aca="false">COUNTIFS('Normal User'!$G$3:$G$60,$A15,'Normal User'!$H$3:$H$60,"Cond")+COUNTIFS('Disaster Management'!$G$3:$G$60,$A15,'Disaster Management'!$H$3:$H$60,"Cond")+COUNTIFS('Application Management'!$G$3:$G$60,$A15,'Application Management'!$H$3:$H$60,"Cond")+COUNTIFS('External Parties'!$G$3:$G$60,$A15,'External Parties'!$H$3:$H$60,"Cond")</f>
        <v>0</v>
      </c>
      <c r="M15" s="14" t="s">
        <v>638</v>
      </c>
    </row>
    <row r="16" customFormat="false" ht="69.75" hidden="false" customHeight="true" outlineLevel="0" collapsed="false">
      <c r="A16" s="14" t="s">
        <v>152</v>
      </c>
      <c r="B16" s="14" t="s">
        <v>639</v>
      </c>
      <c r="C16" s="14" t="s">
        <v>640</v>
      </c>
      <c r="D16" s="14" t="s">
        <v>641</v>
      </c>
      <c r="E16" s="14" t="s">
        <v>642</v>
      </c>
      <c r="F16" s="15" t="n">
        <f aca="false">SUM(G16:L16)</f>
        <v>13</v>
      </c>
      <c r="G16" s="15" t="n">
        <f aca="false">COUNTIFS('Normal User'!$G$3:$G$60,$A16,'Normal User'!$H$3:$H$60,"S1")+COUNTIFS('Disaster Management'!$G$3:$G$60,$A16,'Disaster Management'!$H$3:$H$60,"S1")+COUNTIFS('Application Management'!$G$3:$G$60,$A16,'Application Management'!$H$3:$H$60,"S1")+COUNTIFS('External Parties'!$G$3:$G$60,$A16,'External Parties'!$H$3:$H$60,"S1")</f>
        <v>0</v>
      </c>
      <c r="H16" s="15" t="n">
        <f aca="false">COUNTIFS('Normal User'!$G$3:$G$60,$A16,'Normal User'!$H$3:$H$60,"S2")+COUNTIFS('Disaster Management'!$G$3:$G$60,$A16,'Disaster Management'!$H$3:$H$60,"S2")+COUNTIFS('Application Management'!$G$3:$G$60,$A16,'Application Management'!$H$3:$H$60,"S2")+COUNTIFS('External Parties'!$G$3:$G$60,$A16,'External Parties'!$H$3:$H$60,"S2")</f>
        <v>0</v>
      </c>
      <c r="I16" s="15" t="n">
        <f aca="false">COUNTIFS('Normal User'!$G$3:$G$60,$A16,'Normal User'!$H$3:$H$60,"S3")+COUNTIFS('Disaster Management'!$G$3:$G$60,$A16,'Disaster Management'!$H$3:$H$60,"S3")+COUNTIFS('Application Management'!$G$3:$G$60,$A16,'Application Management'!$H$3:$H$60,"S3")+COUNTIFS('External Parties'!$G$3:$G$60,$A16,'External Parties'!$H$3:$H$60,"S3")</f>
        <v>1</v>
      </c>
      <c r="J16" s="15" t="n">
        <f aca="false">COUNTIFS('Normal User'!$G$3:$G$60,$A16,'Normal User'!$H$3:$H$60,"S4")+COUNTIFS('Disaster Management'!$G$3:$G$60,$A16,'Disaster Management'!$H$3:$H$60,"S4")+COUNTIFS('Application Management'!$G$3:$G$60,$A16,'Application Management'!$H$3:$H$60,"S4")+COUNTIFS('External Parties'!$G$3:$G$60,$A16,'External Parties'!$H$3:$H$60,"S4")</f>
        <v>1</v>
      </c>
      <c r="K16" s="15" t="n">
        <f aca="false">COUNTIFS('Normal User'!$G$3:$G$60,$A16,'Normal User'!$H$3:$H$60,"S5")+COUNTIFS('Disaster Management'!$G$3:$G$60,$A16,'Disaster Management'!$H$3:$H$60,"S5")+COUNTIFS('Application Management'!$G$3:$G$60,$A16,'Application Management'!$H$3:$H$60,"S5")+COUNTIFS('External Parties'!$G$3:$G$60,$A16,'External Parties'!$H$3:$H$60,"S5")</f>
        <v>10</v>
      </c>
      <c r="L16" s="15" t="n">
        <f aca="false">COUNTIFS('Normal User'!$G$3:$G$60,$A16,'Normal User'!$H$3:$H$60,"Cond")+COUNTIFS('Disaster Management'!$G$3:$G$60,$A16,'Disaster Management'!$H$3:$H$60,"Cond")+COUNTIFS('Application Management'!$G$3:$G$60,$A16,'Application Management'!$H$3:$H$60,"Cond")+COUNTIFS('External Parties'!$G$3:$G$60,$A16,'External Parties'!$H$3:$H$60,"Cond")</f>
        <v>1</v>
      </c>
      <c r="M16" s="14" t="s">
        <v>643</v>
      </c>
    </row>
    <row r="17" customFormat="false" ht="69.75" hidden="false" customHeight="true" outlineLevel="0" collapsed="false">
      <c r="A17" s="14" t="s">
        <v>137</v>
      </c>
      <c r="B17" s="14" t="s">
        <v>644</v>
      </c>
      <c r="C17" s="14" t="s">
        <v>645</v>
      </c>
      <c r="D17" s="14" t="s">
        <v>623</v>
      </c>
      <c r="E17" s="14" t="s">
        <v>646</v>
      </c>
      <c r="F17" s="15" t="n">
        <f aca="false">SUM(G17:L17)</f>
        <v>5</v>
      </c>
      <c r="G17" s="15" t="n">
        <f aca="false">COUNTIFS('Normal User'!$G$3:$G$60,$A17,'Normal User'!$H$3:$H$60,"S1")+COUNTIFS('Disaster Management'!$G$3:$G$60,$A17,'Disaster Management'!$H$3:$H$60,"S1")+COUNTIFS('Application Management'!$G$3:$G$60,$A17,'Application Management'!$H$3:$H$60,"S1")+COUNTIFS('External Parties'!$G$3:$G$60,$A17,'External Parties'!$H$3:$H$60,"S1")</f>
        <v>0</v>
      </c>
      <c r="H17" s="15" t="n">
        <f aca="false">COUNTIFS('Normal User'!$G$3:$G$60,$A17,'Normal User'!$H$3:$H$60,"S2")+COUNTIFS('Disaster Management'!$G$3:$G$60,$A17,'Disaster Management'!$H$3:$H$60,"S2")+COUNTIFS('Application Management'!$G$3:$G$60,$A17,'Application Management'!$H$3:$H$60,"S2")+COUNTIFS('External Parties'!$G$3:$G$60,$A17,'External Parties'!$H$3:$H$60,"S2")</f>
        <v>0</v>
      </c>
      <c r="I17" s="15" t="n">
        <f aca="false">COUNTIFS('Normal User'!$G$3:$G$60,$A17,'Normal User'!$H$3:$H$60,"S3")+COUNTIFS('Disaster Management'!$G$3:$G$60,$A17,'Disaster Management'!$H$3:$H$60,"S3")+COUNTIFS('Application Management'!$G$3:$G$60,$A17,'Application Management'!$H$3:$H$60,"S3")+COUNTIFS('External Parties'!$G$3:$G$60,$A17,'External Parties'!$H$3:$H$60,"S3")</f>
        <v>0</v>
      </c>
      <c r="J17" s="15" t="n">
        <f aca="false">COUNTIFS('Normal User'!$G$3:$G$60,$A17,'Normal User'!$H$3:$H$60,"S4")+COUNTIFS('Disaster Management'!$G$3:$G$60,$A17,'Disaster Management'!$H$3:$H$60,"S4")+COUNTIFS('Application Management'!$G$3:$G$60,$A17,'Application Management'!$H$3:$H$60,"S4")+COUNTIFS('External Parties'!$G$3:$G$60,$A17,'External Parties'!$H$3:$H$60,"S4")</f>
        <v>0</v>
      </c>
      <c r="K17" s="15" t="n">
        <f aca="false">COUNTIFS('Normal User'!$G$3:$G$60,$A17,'Normal User'!$H$3:$H$60,"S5")+COUNTIFS('Disaster Management'!$G$3:$G$60,$A17,'Disaster Management'!$H$3:$H$60,"S5")+COUNTIFS('Application Management'!$G$3:$G$60,$A17,'Application Management'!$H$3:$H$60,"S5")+COUNTIFS('External Parties'!$G$3:$G$60,$A17,'External Parties'!$H$3:$H$60,"S5")</f>
        <v>5</v>
      </c>
      <c r="L17" s="15" t="n">
        <f aca="false">COUNTIFS('Normal User'!$G$3:$G$60,$A17,'Normal User'!$H$3:$H$60,"Cond")+COUNTIFS('Disaster Management'!$G$3:$G$60,$A17,'Disaster Management'!$H$3:$H$60,"Cond")+COUNTIFS('Application Management'!$G$3:$G$60,$A17,'Application Management'!$H$3:$H$60,"Cond")+COUNTIFS('External Parties'!$G$3:$G$60,$A17,'External Parties'!$H$3:$H$60,"Cond")</f>
        <v>0</v>
      </c>
      <c r="M17" s="14" t="s">
        <v>647</v>
      </c>
    </row>
    <row r="18" customFormat="false" ht="69.75" hidden="false" customHeight="true" outlineLevel="0" collapsed="false">
      <c r="A18" s="14" t="s">
        <v>128</v>
      </c>
      <c r="B18" s="14" t="s">
        <v>648</v>
      </c>
      <c r="C18" s="14" t="s">
        <v>649</v>
      </c>
      <c r="D18" s="14" t="s">
        <v>636</v>
      </c>
      <c r="E18" s="14" t="s">
        <v>650</v>
      </c>
      <c r="F18" s="15" t="n">
        <f aca="false">SUM(G18:L18)</f>
        <v>5</v>
      </c>
      <c r="G18" s="15" t="n">
        <f aca="false">COUNTIFS('Normal User'!$G$3:$G$60,$A18,'Normal User'!$H$3:$H$60,"S1")+COUNTIFS('Disaster Management'!$G$3:$G$60,$A18,'Disaster Management'!$H$3:$H$60,"S1")+COUNTIFS('Application Management'!$G$3:$G$60,$A18,'Application Management'!$H$3:$H$60,"S1")+COUNTIFS('External Parties'!$G$3:$G$60,$A18,'External Parties'!$H$3:$H$60,"S1")</f>
        <v>0</v>
      </c>
      <c r="H18" s="15" t="n">
        <f aca="false">COUNTIFS('Normal User'!$G$3:$G$60,$A18,'Normal User'!$H$3:$H$60,"S2")+COUNTIFS('Disaster Management'!$G$3:$G$60,$A18,'Disaster Management'!$H$3:$H$60,"S2")+COUNTIFS('Application Management'!$G$3:$G$60,$A18,'Application Management'!$H$3:$H$60,"S2")+COUNTIFS('External Parties'!$G$3:$G$60,$A18,'External Parties'!$H$3:$H$60,"S2")</f>
        <v>0</v>
      </c>
      <c r="I18" s="15" t="n">
        <f aca="false">COUNTIFS('Normal User'!$G$3:$G$60,$A18,'Normal User'!$H$3:$H$60,"S3")+COUNTIFS('Disaster Management'!$G$3:$G$60,$A18,'Disaster Management'!$H$3:$H$60,"S3")+COUNTIFS('Application Management'!$G$3:$G$60,$A18,'Application Management'!$H$3:$H$60,"S3")+COUNTIFS('External Parties'!$G$3:$G$60,$A18,'External Parties'!$H$3:$H$60,"S3")</f>
        <v>0</v>
      </c>
      <c r="J18" s="15" t="n">
        <f aca="false">COUNTIFS('Normal User'!$G$3:$G$60,$A18,'Normal User'!$H$3:$H$60,"S4")+COUNTIFS('Disaster Management'!$G$3:$G$60,$A18,'Disaster Management'!$H$3:$H$60,"S4")+COUNTIFS('Application Management'!$G$3:$G$60,$A18,'Application Management'!$H$3:$H$60,"S4")+COUNTIFS('External Parties'!$G$3:$G$60,$A18,'External Parties'!$H$3:$H$60,"S4")</f>
        <v>1</v>
      </c>
      <c r="K18" s="15" t="n">
        <f aca="false">COUNTIFS('Normal User'!$G$3:$G$60,$A18,'Normal User'!$H$3:$H$60,"S5")+COUNTIFS('Disaster Management'!$G$3:$G$60,$A18,'Disaster Management'!$H$3:$H$60,"S5")+COUNTIFS('Application Management'!$G$3:$G$60,$A18,'Application Management'!$H$3:$H$60,"S5")+COUNTIFS('External Parties'!$G$3:$G$60,$A18,'External Parties'!$H$3:$H$60,"S5")</f>
        <v>0</v>
      </c>
      <c r="L18" s="15" t="n">
        <f aca="false">COUNTIFS('Normal User'!$G$3:$G$60,$A18,'Normal User'!$H$3:$H$60,"Cond")+COUNTIFS('Disaster Management'!$G$3:$G$60,$A18,'Disaster Management'!$H$3:$H$60,"Cond")+COUNTIFS('Application Management'!$G$3:$G$60,$A18,'Application Management'!$H$3:$H$60,"Cond")+COUNTIFS('External Parties'!$G$3:$G$60,$A18,'External Parties'!$H$3:$H$60,"Cond")</f>
        <v>4</v>
      </c>
      <c r="M18" s="14" t="s">
        <v>651</v>
      </c>
    </row>
    <row r="19" customFormat="false" ht="15" hidden="false" customHeight="false" outlineLevel="0" collapsed="false">
      <c r="A19" s="16" t="s">
        <v>652</v>
      </c>
      <c r="F19" s="17" t="n">
        <f aca="false">SUM(F3:F18)</f>
        <v>119</v>
      </c>
      <c r="G19" s="17" t="n">
        <f aca="false">SUM(G3:G18)</f>
        <v>22</v>
      </c>
      <c r="H19" s="17" t="n">
        <f aca="false">SUM(H3:H18)</f>
        <v>22</v>
      </c>
      <c r="I19" s="17" t="n">
        <f aca="false">SUM(I3:I18)</f>
        <v>22</v>
      </c>
      <c r="J19" s="17" t="n">
        <f aca="false">SUM(J3:J18)</f>
        <v>20</v>
      </c>
      <c r="K19" s="17" t="n">
        <f aca="false">SUM(K3:K18)</f>
        <v>21</v>
      </c>
      <c r="L19" s="17" t="n">
        <f aca="false">SUM(L3:L18)</f>
        <v>12</v>
      </c>
    </row>
    <row r="20" customFormat="false" ht="15" hidden="false" customHeight="false" outlineLevel="0" collapsed="false">
      <c r="A20" s="16" t="s">
        <v>653</v>
      </c>
      <c r="B20" s="18" t="str">
        <f aca="false">IF(F19=119,"OK: all 119 stories are in exactly one epic","ERROR: story count differs from 119")</f>
        <v>OK: all 119 stories are in exactly one epic</v>
      </c>
    </row>
    <row r="21" customFormat="false" ht="31.5" hidden="false" customHeight="true" outlineLevel="0" collapsed="false">
      <c r="A21" s="16" t="s">
        <v>654</v>
      </c>
      <c r="B21" s="19" t="s">
        <v>655</v>
      </c>
      <c r="C21" s="19"/>
      <c r="D21" s="19"/>
      <c r="E21" s="19"/>
      <c r="F21" s="19"/>
      <c r="G21" s="19"/>
      <c r="H21" s="19"/>
      <c r="I21" s="19"/>
      <c r="J21" s="19"/>
      <c r="K21" s="19"/>
      <c r="L21" s="19"/>
      <c r="M21" s="19"/>
    </row>
  </sheetData>
  <mergeCells count="2">
    <mergeCell ref="A1:M1"/>
    <mergeCell ref="B21:M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1"/>
    <col collapsed="false" customWidth="true" hidden="false" outlineLevel="0" max="4" min="4" style="1" width="90"/>
  </cols>
  <sheetData>
    <row r="1" customFormat="false" ht="30" hidden="false" customHeight="true" outlineLevel="0" collapsed="false">
      <c r="A1" s="2" t="s">
        <v>656</v>
      </c>
      <c r="B1" s="2"/>
      <c r="C1" s="2"/>
      <c r="D1" s="2"/>
    </row>
    <row r="2" customFormat="false" ht="27.75" hidden="false" customHeight="true" outlineLevel="0" collapsed="false">
      <c r="A2" s="3" t="s">
        <v>657</v>
      </c>
      <c r="B2" s="3" t="s">
        <v>658</v>
      </c>
      <c r="C2" s="3" t="s">
        <v>659</v>
      </c>
      <c r="D2" s="3" t="s">
        <v>660</v>
      </c>
    </row>
    <row r="3" customFormat="false" ht="15" hidden="false" customHeight="true" outlineLevel="0" collapsed="false">
      <c r="A3" s="4" t="s">
        <v>661</v>
      </c>
      <c r="B3" s="5" t="s">
        <v>662</v>
      </c>
      <c r="C3" s="5" t="s">
        <v>663</v>
      </c>
      <c r="D3" s="5" t="s">
        <v>664</v>
      </c>
    </row>
    <row r="4" customFormat="false" ht="15" hidden="false" customHeight="true" outlineLevel="0" collapsed="false">
      <c r="A4" s="8" t="s">
        <v>24</v>
      </c>
      <c r="B4" s="9" t="s">
        <v>662</v>
      </c>
      <c r="C4" s="9" t="s">
        <v>663</v>
      </c>
      <c r="D4" s="9" t="s">
        <v>665</v>
      </c>
    </row>
    <row r="5" customFormat="false" ht="15" hidden="false" customHeight="true" outlineLevel="0" collapsed="false">
      <c r="A5" s="4" t="s">
        <v>32</v>
      </c>
      <c r="B5" s="5" t="s">
        <v>662</v>
      </c>
      <c r="C5" s="5" t="s">
        <v>663</v>
      </c>
      <c r="D5" s="5" t="s">
        <v>666</v>
      </c>
    </row>
    <row r="6" customFormat="false" ht="15" hidden="false" customHeight="true" outlineLevel="0" collapsed="false">
      <c r="A6" s="8" t="s">
        <v>43</v>
      </c>
      <c r="B6" s="9" t="s">
        <v>662</v>
      </c>
      <c r="C6" s="9" t="s">
        <v>663</v>
      </c>
      <c r="D6" s="9" t="s">
        <v>667</v>
      </c>
    </row>
    <row r="7" customFormat="false" ht="15" hidden="false" customHeight="true" outlineLevel="0" collapsed="false">
      <c r="A7" s="4" t="s">
        <v>668</v>
      </c>
      <c r="B7" s="5" t="s">
        <v>662</v>
      </c>
      <c r="C7" s="5" t="s">
        <v>663</v>
      </c>
      <c r="D7" s="5" t="s">
        <v>669</v>
      </c>
    </row>
    <row r="8" customFormat="false" ht="15" hidden="false" customHeight="true" outlineLevel="0" collapsed="false">
      <c r="A8" s="8" t="s">
        <v>54</v>
      </c>
      <c r="B8" s="9" t="s">
        <v>662</v>
      </c>
      <c r="C8" s="9" t="s">
        <v>663</v>
      </c>
      <c r="D8" s="9" t="s">
        <v>670</v>
      </c>
    </row>
    <row r="9" customFormat="false" ht="15" hidden="false" customHeight="true" outlineLevel="0" collapsed="false">
      <c r="A9" s="4" t="s">
        <v>671</v>
      </c>
      <c r="B9" s="5" t="s">
        <v>662</v>
      </c>
      <c r="C9" s="5" t="s">
        <v>663</v>
      </c>
      <c r="D9" s="5" t="s">
        <v>672</v>
      </c>
    </row>
    <row r="10" customFormat="false" ht="15" hidden="false" customHeight="true" outlineLevel="0" collapsed="false">
      <c r="A10" s="8" t="s">
        <v>673</v>
      </c>
      <c r="B10" s="9" t="s">
        <v>662</v>
      </c>
      <c r="C10" s="9" t="s">
        <v>663</v>
      </c>
      <c r="D10" s="9" t="s">
        <v>674</v>
      </c>
    </row>
    <row r="11" customFormat="false" ht="15" hidden="false" customHeight="true" outlineLevel="0" collapsed="false">
      <c r="A11" s="4" t="s">
        <v>81</v>
      </c>
      <c r="B11" s="5" t="s">
        <v>662</v>
      </c>
      <c r="C11" s="5" t="s">
        <v>663</v>
      </c>
      <c r="D11" s="5" t="s">
        <v>675</v>
      </c>
    </row>
    <row r="12" customFormat="false" ht="15" hidden="false" customHeight="true" outlineLevel="0" collapsed="false">
      <c r="A12" s="8" t="s">
        <v>92</v>
      </c>
      <c r="B12" s="9" t="s">
        <v>662</v>
      </c>
      <c r="C12" s="9" t="s">
        <v>663</v>
      </c>
      <c r="D12" s="9" t="s">
        <v>676</v>
      </c>
    </row>
    <row r="13" customFormat="false" ht="15" hidden="false" customHeight="true" outlineLevel="0" collapsed="false">
      <c r="A13" s="4" t="s">
        <v>102</v>
      </c>
      <c r="B13" s="5" t="s">
        <v>662</v>
      </c>
      <c r="C13" s="5" t="s">
        <v>663</v>
      </c>
      <c r="D13" s="5" t="s">
        <v>677</v>
      </c>
    </row>
    <row r="14" customFormat="false" ht="15" hidden="false" customHeight="true" outlineLevel="0" collapsed="false">
      <c r="A14" s="8" t="s">
        <v>108</v>
      </c>
      <c r="B14" s="9" t="s">
        <v>662</v>
      </c>
      <c r="C14" s="9" t="s">
        <v>663</v>
      </c>
      <c r="D14" s="9" t="s">
        <v>105</v>
      </c>
    </row>
    <row r="15" customFormat="false" ht="15" hidden="false" customHeight="true" outlineLevel="0" collapsed="false">
      <c r="A15" s="4" t="s">
        <v>678</v>
      </c>
      <c r="B15" s="5" t="s">
        <v>662</v>
      </c>
      <c r="C15" s="5" t="s">
        <v>679</v>
      </c>
      <c r="D15" s="5" t="s">
        <v>680</v>
      </c>
    </row>
    <row r="16" customFormat="false" ht="15" hidden="false" customHeight="true" outlineLevel="0" collapsed="false">
      <c r="A16" s="8" t="s">
        <v>681</v>
      </c>
      <c r="B16" s="9" t="s">
        <v>662</v>
      </c>
      <c r="C16" s="9" t="s">
        <v>679</v>
      </c>
      <c r="D16" s="9" t="s">
        <v>682</v>
      </c>
    </row>
    <row r="17" customFormat="false" ht="15" hidden="false" customHeight="true" outlineLevel="0" collapsed="false">
      <c r="A17" s="4" t="s">
        <v>683</v>
      </c>
      <c r="B17" s="5" t="s">
        <v>662</v>
      </c>
      <c r="C17" s="5" t="s">
        <v>679</v>
      </c>
      <c r="D17" s="5" t="s">
        <v>684</v>
      </c>
    </row>
    <row r="18" customFormat="false" ht="15" hidden="false" customHeight="true" outlineLevel="0" collapsed="false">
      <c r="A18" s="8" t="s">
        <v>200</v>
      </c>
      <c r="B18" s="9" t="s">
        <v>662</v>
      </c>
      <c r="C18" s="9" t="s">
        <v>663</v>
      </c>
      <c r="D18" s="9" t="s">
        <v>685</v>
      </c>
    </row>
    <row r="19" customFormat="false" ht="15" hidden="false" customHeight="true" outlineLevel="0" collapsed="false">
      <c r="A19" s="4" t="s">
        <v>206</v>
      </c>
      <c r="B19" s="5" t="s">
        <v>662</v>
      </c>
      <c r="C19" s="5" t="s">
        <v>663</v>
      </c>
      <c r="D19" s="5" t="s">
        <v>686</v>
      </c>
    </row>
    <row r="20" customFormat="false" ht="15" hidden="false" customHeight="true" outlineLevel="0" collapsed="false">
      <c r="A20" s="8" t="s">
        <v>212</v>
      </c>
      <c r="B20" s="9" t="s">
        <v>662</v>
      </c>
      <c r="C20" s="9" t="s">
        <v>663</v>
      </c>
      <c r="D20" s="9" t="s">
        <v>687</v>
      </c>
    </row>
    <row r="21" customFormat="false" ht="15" hidden="false" customHeight="true" outlineLevel="0" collapsed="false">
      <c r="A21" s="4" t="s">
        <v>221</v>
      </c>
      <c r="B21" s="5" t="s">
        <v>662</v>
      </c>
      <c r="C21" s="5" t="s">
        <v>663</v>
      </c>
      <c r="D21" s="5" t="s">
        <v>688</v>
      </c>
    </row>
    <row r="22" customFormat="false" ht="15" hidden="false" customHeight="true" outlineLevel="0" collapsed="false">
      <c r="A22" s="8" t="s">
        <v>227</v>
      </c>
      <c r="B22" s="9" t="s">
        <v>662</v>
      </c>
      <c r="C22" s="9" t="s">
        <v>663</v>
      </c>
      <c r="D22" s="9" t="s">
        <v>689</v>
      </c>
    </row>
    <row r="23" customFormat="false" ht="15" hidden="false" customHeight="true" outlineLevel="0" collapsed="false">
      <c r="A23" s="4" t="s">
        <v>238</v>
      </c>
      <c r="B23" s="5" t="s">
        <v>662</v>
      </c>
      <c r="C23" s="5" t="s">
        <v>663</v>
      </c>
      <c r="D23" s="5" t="s">
        <v>235</v>
      </c>
    </row>
    <row r="24" customFormat="false" ht="15" hidden="false" customHeight="true" outlineLevel="0" collapsed="false">
      <c r="A24" s="8" t="s">
        <v>242</v>
      </c>
      <c r="B24" s="9" t="s">
        <v>662</v>
      </c>
      <c r="C24" s="9" t="s">
        <v>663</v>
      </c>
      <c r="D24" s="9" t="s">
        <v>690</v>
      </c>
    </row>
    <row r="25" customFormat="false" ht="15" hidden="false" customHeight="true" outlineLevel="0" collapsed="false">
      <c r="A25" s="4" t="s">
        <v>248</v>
      </c>
      <c r="B25" s="5" t="s">
        <v>662</v>
      </c>
      <c r="C25" s="5" t="s">
        <v>663</v>
      </c>
      <c r="D25" s="5" t="s">
        <v>691</v>
      </c>
    </row>
    <row r="26" customFormat="false" ht="15" hidden="false" customHeight="true" outlineLevel="0" collapsed="false">
      <c r="A26" s="8" t="s">
        <v>253</v>
      </c>
      <c r="B26" s="9" t="s">
        <v>662</v>
      </c>
      <c r="C26" s="9" t="s">
        <v>663</v>
      </c>
      <c r="D26" s="9" t="s">
        <v>692</v>
      </c>
    </row>
    <row r="27" customFormat="false" ht="15" hidden="false" customHeight="true" outlineLevel="0" collapsed="false">
      <c r="A27" s="4" t="s">
        <v>270</v>
      </c>
      <c r="B27" s="5" t="s">
        <v>662</v>
      </c>
      <c r="C27" s="5" t="s">
        <v>663</v>
      </c>
      <c r="D27" s="5" t="s">
        <v>693</v>
      </c>
    </row>
    <row r="28" customFormat="false" ht="15" hidden="false" customHeight="true" outlineLevel="0" collapsed="false">
      <c r="A28" s="8" t="s">
        <v>274</v>
      </c>
      <c r="B28" s="9" t="s">
        <v>662</v>
      </c>
      <c r="C28" s="9" t="s">
        <v>663</v>
      </c>
      <c r="D28" s="9" t="s">
        <v>694</v>
      </c>
    </row>
    <row r="29" customFormat="false" ht="15" hidden="false" customHeight="true" outlineLevel="0" collapsed="false">
      <c r="A29" s="4" t="s">
        <v>279</v>
      </c>
      <c r="B29" s="5" t="s">
        <v>662</v>
      </c>
      <c r="C29" s="5" t="s">
        <v>663</v>
      </c>
      <c r="D29" s="5" t="s">
        <v>276</v>
      </c>
    </row>
    <row r="30" customFormat="false" ht="15" hidden="false" customHeight="true" outlineLevel="0" collapsed="false">
      <c r="A30" s="8" t="s">
        <v>285</v>
      </c>
      <c r="B30" s="9" t="s">
        <v>662</v>
      </c>
      <c r="C30" s="9" t="s">
        <v>663</v>
      </c>
      <c r="D30" s="9" t="s">
        <v>695</v>
      </c>
    </row>
    <row r="31" customFormat="false" ht="15" hidden="false" customHeight="true" outlineLevel="0" collapsed="false">
      <c r="A31" s="4" t="s">
        <v>289</v>
      </c>
      <c r="B31" s="5" t="s">
        <v>662</v>
      </c>
      <c r="C31" s="5" t="s">
        <v>663</v>
      </c>
      <c r="D31" s="5" t="s">
        <v>696</v>
      </c>
    </row>
    <row r="32" customFormat="false" ht="15" hidden="false" customHeight="true" outlineLevel="0" collapsed="false">
      <c r="A32" s="8" t="s">
        <v>294</v>
      </c>
      <c r="B32" s="9" t="s">
        <v>662</v>
      </c>
      <c r="C32" s="9" t="s">
        <v>663</v>
      </c>
      <c r="D32" s="9" t="s">
        <v>697</v>
      </c>
    </row>
    <row r="33" customFormat="false" ht="15" hidden="false" customHeight="true" outlineLevel="0" collapsed="false">
      <c r="A33" s="4" t="s">
        <v>299</v>
      </c>
      <c r="B33" s="5" t="s">
        <v>662</v>
      </c>
      <c r="C33" s="5" t="s">
        <v>663</v>
      </c>
      <c r="D33" s="5" t="s">
        <v>296</v>
      </c>
    </row>
    <row r="34" customFormat="false" ht="15" hidden="false" customHeight="true" outlineLevel="0" collapsed="false">
      <c r="A34" s="8" t="s">
        <v>304</v>
      </c>
      <c r="B34" s="9" t="s">
        <v>662</v>
      </c>
      <c r="C34" s="9" t="s">
        <v>663</v>
      </c>
      <c r="D34" s="9" t="s">
        <v>698</v>
      </c>
    </row>
    <row r="35" customFormat="false" ht="15" hidden="false" customHeight="true" outlineLevel="0" collapsed="false">
      <c r="A35" s="4" t="s">
        <v>308</v>
      </c>
      <c r="B35" s="5" t="s">
        <v>662</v>
      </c>
      <c r="C35" s="5" t="s">
        <v>663</v>
      </c>
      <c r="D35" s="6" t="s">
        <v>699</v>
      </c>
    </row>
    <row r="36" customFormat="false" ht="15" hidden="false" customHeight="true" outlineLevel="0" collapsed="false">
      <c r="A36" s="8" t="s">
        <v>700</v>
      </c>
      <c r="B36" s="9" t="s">
        <v>662</v>
      </c>
      <c r="C36" s="9" t="s">
        <v>679</v>
      </c>
      <c r="D36" s="9" t="s">
        <v>311</v>
      </c>
    </row>
    <row r="37" customFormat="false" ht="15" hidden="false" customHeight="true" outlineLevel="0" collapsed="false">
      <c r="A37" s="4" t="s">
        <v>701</v>
      </c>
      <c r="B37" s="5" t="s">
        <v>662</v>
      </c>
      <c r="C37" s="5" t="s">
        <v>679</v>
      </c>
      <c r="D37" s="5" t="s">
        <v>702</v>
      </c>
    </row>
    <row r="38" customFormat="false" ht="15" hidden="false" customHeight="true" outlineLevel="0" collapsed="false">
      <c r="A38" s="8" t="s">
        <v>396</v>
      </c>
      <c r="B38" s="9" t="s">
        <v>662</v>
      </c>
      <c r="C38" s="9" t="s">
        <v>663</v>
      </c>
      <c r="D38" s="9" t="s">
        <v>703</v>
      </c>
    </row>
    <row r="39" customFormat="false" ht="15" hidden="false" customHeight="true" outlineLevel="0" collapsed="false">
      <c r="A39" s="4" t="s">
        <v>402</v>
      </c>
      <c r="B39" s="5" t="s">
        <v>662</v>
      </c>
      <c r="C39" s="5" t="s">
        <v>663</v>
      </c>
      <c r="D39" s="6" t="s">
        <v>704</v>
      </c>
    </row>
    <row r="40" customFormat="false" ht="15" hidden="false" customHeight="true" outlineLevel="0" collapsed="false">
      <c r="A40" s="8" t="s">
        <v>412</v>
      </c>
      <c r="B40" s="9" t="s">
        <v>662</v>
      </c>
      <c r="C40" s="9" t="s">
        <v>663</v>
      </c>
      <c r="D40" s="9" t="s">
        <v>705</v>
      </c>
    </row>
    <row r="41" customFormat="false" ht="15" hidden="false" customHeight="true" outlineLevel="0" collapsed="false">
      <c r="A41" s="4" t="s">
        <v>417</v>
      </c>
      <c r="B41" s="5" t="s">
        <v>662</v>
      </c>
      <c r="C41" s="5" t="s">
        <v>663</v>
      </c>
      <c r="D41" s="5" t="s">
        <v>706</v>
      </c>
    </row>
    <row r="42" customFormat="false" ht="15" hidden="false" customHeight="true" outlineLevel="0" collapsed="false">
      <c r="A42" s="8" t="s">
        <v>422</v>
      </c>
      <c r="B42" s="9" t="s">
        <v>662</v>
      </c>
      <c r="C42" s="9" t="s">
        <v>663</v>
      </c>
      <c r="D42" s="6" t="s">
        <v>707</v>
      </c>
    </row>
    <row r="43" customFormat="false" ht="15" hidden="false" customHeight="true" outlineLevel="0" collapsed="false">
      <c r="A43" s="4" t="s">
        <v>427</v>
      </c>
      <c r="B43" s="5" t="s">
        <v>662</v>
      </c>
      <c r="C43" s="5" t="s">
        <v>663</v>
      </c>
      <c r="D43" s="5" t="s">
        <v>708</v>
      </c>
    </row>
    <row r="44" customFormat="false" ht="15" hidden="false" customHeight="true" outlineLevel="0" collapsed="false">
      <c r="A44" s="8" t="s">
        <v>432</v>
      </c>
      <c r="B44" s="9" t="s">
        <v>662</v>
      </c>
      <c r="C44" s="9" t="s">
        <v>663</v>
      </c>
      <c r="D44" s="9" t="s">
        <v>709</v>
      </c>
    </row>
    <row r="45" customFormat="false" ht="15" hidden="false" customHeight="true" outlineLevel="0" collapsed="false">
      <c r="A45" s="4" t="s">
        <v>436</v>
      </c>
      <c r="B45" s="5" t="s">
        <v>662</v>
      </c>
      <c r="C45" s="5" t="s">
        <v>663</v>
      </c>
      <c r="D45" s="5" t="s">
        <v>710</v>
      </c>
    </row>
    <row r="46" customFormat="false" ht="15" hidden="false" customHeight="true" outlineLevel="0" collapsed="false">
      <c r="A46" s="8" t="s">
        <v>441</v>
      </c>
      <c r="B46" s="9" t="s">
        <v>662</v>
      </c>
      <c r="C46" s="9" t="s">
        <v>663</v>
      </c>
      <c r="D46" s="9" t="s">
        <v>711</v>
      </c>
    </row>
    <row r="47" customFormat="false" ht="15" hidden="false" customHeight="true" outlineLevel="0" collapsed="false">
      <c r="A47" s="4" t="s">
        <v>445</v>
      </c>
      <c r="B47" s="5" t="s">
        <v>662</v>
      </c>
      <c r="C47" s="5" t="s">
        <v>663</v>
      </c>
      <c r="D47" s="5" t="s">
        <v>712</v>
      </c>
    </row>
    <row r="48" customFormat="false" ht="15" hidden="false" customHeight="true" outlineLevel="0" collapsed="false">
      <c r="A48" s="8" t="s">
        <v>451</v>
      </c>
      <c r="B48" s="9" t="s">
        <v>662</v>
      </c>
      <c r="C48" s="9" t="s">
        <v>663</v>
      </c>
      <c r="D48" s="6" t="s">
        <v>713</v>
      </c>
    </row>
    <row r="49" customFormat="false" ht="15" hidden="false" customHeight="true" outlineLevel="0" collapsed="false">
      <c r="A49" s="4" t="s">
        <v>456</v>
      </c>
      <c r="B49" s="5" t="s">
        <v>662</v>
      </c>
      <c r="C49" s="5" t="s">
        <v>663</v>
      </c>
      <c r="D49" s="6" t="s">
        <v>714</v>
      </c>
    </row>
    <row r="50" customFormat="false" ht="15" hidden="false" customHeight="true" outlineLevel="0" collapsed="false">
      <c r="A50" s="8" t="s">
        <v>715</v>
      </c>
      <c r="B50" s="9" t="s">
        <v>662</v>
      </c>
      <c r="C50" s="9" t="s">
        <v>679</v>
      </c>
      <c r="D50" s="9" t="s">
        <v>716</v>
      </c>
    </row>
    <row r="51" customFormat="false" ht="15" hidden="false" customHeight="true" outlineLevel="0" collapsed="false">
      <c r="A51" s="4" t="s">
        <v>717</v>
      </c>
      <c r="B51" s="5" t="s">
        <v>662</v>
      </c>
      <c r="C51" s="5" t="s">
        <v>679</v>
      </c>
      <c r="D51" s="5" t="s">
        <v>718</v>
      </c>
    </row>
    <row r="52" customFormat="false" ht="15" hidden="false" customHeight="true" outlineLevel="0" collapsed="false">
      <c r="A52" s="8" t="s">
        <v>38</v>
      </c>
      <c r="B52" s="9" t="s">
        <v>719</v>
      </c>
      <c r="C52" s="9" t="s">
        <v>663</v>
      </c>
      <c r="D52" s="9" t="s">
        <v>720</v>
      </c>
    </row>
    <row r="53" customFormat="false" ht="15" hidden="false" customHeight="true" outlineLevel="0" collapsed="false">
      <c r="A53" s="4" t="s">
        <v>143</v>
      </c>
      <c r="B53" s="5" t="s">
        <v>719</v>
      </c>
      <c r="C53" s="5" t="s">
        <v>663</v>
      </c>
      <c r="D53" s="5" t="s">
        <v>139</v>
      </c>
    </row>
    <row r="54" customFormat="false" ht="15" hidden="false" customHeight="true" outlineLevel="0" collapsed="false">
      <c r="A54" s="8" t="s">
        <v>147</v>
      </c>
      <c r="B54" s="9" t="s">
        <v>719</v>
      </c>
      <c r="C54" s="9" t="s">
        <v>663</v>
      </c>
      <c r="D54" s="9" t="s">
        <v>144</v>
      </c>
    </row>
    <row r="55" customFormat="false" ht="15" hidden="false" customHeight="true" outlineLevel="0" collapsed="false">
      <c r="A55" s="4" t="s">
        <v>44</v>
      </c>
      <c r="B55" s="5" t="s">
        <v>719</v>
      </c>
      <c r="C55" s="5" t="s">
        <v>663</v>
      </c>
      <c r="D55" s="5" t="s">
        <v>721</v>
      </c>
    </row>
    <row r="56" customFormat="false" ht="15" hidden="false" customHeight="true" outlineLevel="0" collapsed="false">
      <c r="A56" s="8" t="s">
        <v>25</v>
      </c>
      <c r="B56" s="9" t="s">
        <v>719</v>
      </c>
      <c r="C56" s="9" t="s">
        <v>663</v>
      </c>
      <c r="D56" s="9" t="s">
        <v>722</v>
      </c>
    </row>
    <row r="57" customFormat="false" ht="15" hidden="false" customHeight="true" outlineLevel="0" collapsed="false">
      <c r="A57" s="4" t="s">
        <v>160</v>
      </c>
      <c r="B57" s="5" t="s">
        <v>719</v>
      </c>
      <c r="C57" s="5" t="s">
        <v>663</v>
      </c>
      <c r="D57" s="5" t="s">
        <v>157</v>
      </c>
    </row>
    <row r="58" customFormat="false" ht="15" hidden="false" customHeight="true" outlineLevel="0" collapsed="false">
      <c r="A58" s="8" t="s">
        <v>164</v>
      </c>
      <c r="B58" s="9" t="s">
        <v>719</v>
      </c>
      <c r="C58" s="9" t="s">
        <v>663</v>
      </c>
      <c r="D58" s="9" t="s">
        <v>723</v>
      </c>
    </row>
    <row r="59" customFormat="false" ht="15" hidden="false" customHeight="true" outlineLevel="0" collapsed="false">
      <c r="A59" s="4" t="s">
        <v>120</v>
      </c>
      <c r="B59" s="5" t="s">
        <v>719</v>
      </c>
      <c r="C59" s="5" t="s">
        <v>663</v>
      </c>
      <c r="D59" s="5" t="s">
        <v>724</v>
      </c>
    </row>
    <row r="60" customFormat="false" ht="15" hidden="false" customHeight="true" outlineLevel="0" collapsed="false">
      <c r="A60" s="8" t="s">
        <v>55</v>
      </c>
      <c r="B60" s="9" t="s">
        <v>719</v>
      </c>
      <c r="C60" s="9" t="s">
        <v>663</v>
      </c>
      <c r="D60" s="9" t="s">
        <v>725</v>
      </c>
    </row>
    <row r="61" customFormat="false" ht="15" hidden="false" customHeight="true" outlineLevel="0" collapsed="false">
      <c r="A61" s="4" t="s">
        <v>59</v>
      </c>
      <c r="B61" s="5" t="s">
        <v>719</v>
      </c>
      <c r="C61" s="5" t="s">
        <v>663</v>
      </c>
      <c r="D61" s="5" t="s">
        <v>726</v>
      </c>
    </row>
    <row r="62" customFormat="false" ht="15" hidden="false" customHeight="true" outlineLevel="0" collapsed="false">
      <c r="A62" s="8" t="s">
        <v>103</v>
      </c>
      <c r="B62" s="9" t="s">
        <v>719</v>
      </c>
      <c r="C62" s="9" t="s">
        <v>663</v>
      </c>
      <c r="D62" s="9" t="s">
        <v>727</v>
      </c>
    </row>
    <row r="63" customFormat="false" ht="15" hidden="false" customHeight="true" outlineLevel="0" collapsed="false">
      <c r="A63" s="4" t="s">
        <v>13</v>
      </c>
      <c r="B63" s="5" t="s">
        <v>719</v>
      </c>
      <c r="C63" s="5" t="s">
        <v>663</v>
      </c>
      <c r="D63" s="5" t="s">
        <v>728</v>
      </c>
    </row>
    <row r="64" customFormat="false" ht="15" hidden="false" customHeight="true" outlineLevel="0" collapsed="false">
      <c r="A64" s="8" t="s">
        <v>49</v>
      </c>
      <c r="B64" s="9" t="s">
        <v>719</v>
      </c>
      <c r="C64" s="9" t="s">
        <v>663</v>
      </c>
      <c r="D64" s="9" t="s">
        <v>729</v>
      </c>
    </row>
    <row r="65" customFormat="false" ht="15" hidden="false" customHeight="true" outlineLevel="0" collapsed="false">
      <c r="A65" s="4" t="s">
        <v>730</v>
      </c>
      <c r="B65" s="5" t="s">
        <v>719</v>
      </c>
      <c r="C65" s="5" t="s">
        <v>679</v>
      </c>
      <c r="D65" s="5" t="s">
        <v>731</v>
      </c>
    </row>
    <row r="66" customFormat="false" ht="15" hidden="false" customHeight="true" outlineLevel="0" collapsed="false">
      <c r="A66" s="8" t="s">
        <v>732</v>
      </c>
      <c r="B66" s="9" t="s">
        <v>719</v>
      </c>
      <c r="C66" s="9" t="s">
        <v>679</v>
      </c>
      <c r="D66" s="9" t="s">
        <v>682</v>
      </c>
    </row>
    <row r="67" customFormat="false" ht="15" hidden="false" customHeight="true" outlineLevel="0" collapsed="false">
      <c r="A67" s="4" t="s">
        <v>328</v>
      </c>
      <c r="B67" s="5" t="s">
        <v>719</v>
      </c>
      <c r="C67" s="5" t="s">
        <v>663</v>
      </c>
      <c r="D67" s="5" t="s">
        <v>733</v>
      </c>
    </row>
    <row r="68" customFormat="false" ht="15" hidden="false" customHeight="true" outlineLevel="0" collapsed="false">
      <c r="A68" s="8" t="s">
        <v>332</v>
      </c>
      <c r="B68" s="9" t="s">
        <v>719</v>
      </c>
      <c r="C68" s="9" t="s">
        <v>663</v>
      </c>
      <c r="D68" s="9" t="s">
        <v>329</v>
      </c>
    </row>
    <row r="69" customFormat="false" ht="15" hidden="false" customHeight="true" outlineLevel="0" collapsed="false">
      <c r="A69" s="4" t="s">
        <v>337</v>
      </c>
      <c r="B69" s="5" t="s">
        <v>719</v>
      </c>
      <c r="C69" s="5" t="s">
        <v>663</v>
      </c>
      <c r="D69" s="5" t="s">
        <v>734</v>
      </c>
    </row>
    <row r="70" customFormat="false" ht="15" hidden="false" customHeight="true" outlineLevel="0" collapsed="false">
      <c r="A70" s="8" t="s">
        <v>341</v>
      </c>
      <c r="B70" s="9" t="s">
        <v>719</v>
      </c>
      <c r="C70" s="9" t="s">
        <v>663</v>
      </c>
      <c r="D70" s="9" t="s">
        <v>338</v>
      </c>
    </row>
    <row r="71" customFormat="false" ht="15" hidden="false" customHeight="true" outlineLevel="0" collapsed="false">
      <c r="A71" s="4" t="s">
        <v>201</v>
      </c>
      <c r="B71" s="5" t="s">
        <v>719</v>
      </c>
      <c r="C71" s="5" t="s">
        <v>663</v>
      </c>
      <c r="D71" s="5" t="s">
        <v>735</v>
      </c>
    </row>
    <row r="72" customFormat="false" ht="15" hidden="false" customHeight="true" outlineLevel="0" collapsed="false">
      <c r="A72" s="8" t="s">
        <v>213</v>
      </c>
      <c r="B72" s="9" t="s">
        <v>719</v>
      </c>
      <c r="C72" s="9" t="s">
        <v>663</v>
      </c>
      <c r="D72" s="9" t="s">
        <v>736</v>
      </c>
    </row>
    <row r="73" customFormat="false" ht="15" hidden="false" customHeight="true" outlineLevel="0" collapsed="false">
      <c r="A73" s="4" t="s">
        <v>265</v>
      </c>
      <c r="B73" s="5" t="s">
        <v>719</v>
      </c>
      <c r="C73" s="5" t="s">
        <v>663</v>
      </c>
      <c r="D73" s="5" t="s">
        <v>737</v>
      </c>
    </row>
    <row r="74" customFormat="false" ht="15" hidden="false" customHeight="true" outlineLevel="0" collapsed="false">
      <c r="A74" s="8" t="s">
        <v>243</v>
      </c>
      <c r="B74" s="9" t="s">
        <v>719</v>
      </c>
      <c r="C74" s="9" t="s">
        <v>663</v>
      </c>
      <c r="D74" s="9" t="s">
        <v>738</v>
      </c>
    </row>
    <row r="75" customFormat="false" ht="15" hidden="false" customHeight="true" outlineLevel="0" collapsed="false">
      <c r="A75" s="4" t="s">
        <v>228</v>
      </c>
      <c r="B75" s="5" t="s">
        <v>719</v>
      </c>
      <c r="C75" s="5" t="s">
        <v>663</v>
      </c>
      <c r="D75" s="5" t="s">
        <v>739</v>
      </c>
    </row>
    <row r="76" customFormat="false" ht="15" hidden="false" customHeight="true" outlineLevel="0" collapsed="false">
      <c r="A76" s="8" t="s">
        <v>222</v>
      </c>
      <c r="B76" s="9" t="s">
        <v>719</v>
      </c>
      <c r="C76" s="9" t="s">
        <v>663</v>
      </c>
      <c r="D76" s="9" t="s">
        <v>740</v>
      </c>
    </row>
    <row r="77" customFormat="false" ht="15" hidden="false" customHeight="true" outlineLevel="0" collapsed="false">
      <c r="A77" s="4" t="s">
        <v>249</v>
      </c>
      <c r="B77" s="5" t="s">
        <v>719</v>
      </c>
      <c r="C77" s="5" t="s">
        <v>663</v>
      </c>
      <c r="D77" s="5" t="s">
        <v>741</v>
      </c>
    </row>
    <row r="78" customFormat="false" ht="15" hidden="false" customHeight="true" outlineLevel="0" collapsed="false">
      <c r="A78" s="8" t="s">
        <v>280</v>
      </c>
      <c r="B78" s="9" t="s">
        <v>719</v>
      </c>
      <c r="C78" s="9" t="s">
        <v>663</v>
      </c>
      <c r="D78" s="9" t="s">
        <v>742</v>
      </c>
    </row>
    <row r="79" customFormat="false" ht="15" hidden="false" customHeight="true" outlineLevel="0" collapsed="false">
      <c r="A79" s="4" t="s">
        <v>254</v>
      </c>
      <c r="B79" s="5" t="s">
        <v>719</v>
      </c>
      <c r="C79" s="5" t="s">
        <v>663</v>
      </c>
      <c r="D79" s="5" t="s">
        <v>743</v>
      </c>
    </row>
    <row r="80" customFormat="false" ht="15" hidden="false" customHeight="true" outlineLevel="0" collapsed="false">
      <c r="A80" s="8" t="s">
        <v>309</v>
      </c>
      <c r="B80" s="9" t="s">
        <v>719</v>
      </c>
      <c r="C80" s="9" t="s">
        <v>663</v>
      </c>
      <c r="D80" s="9" t="s">
        <v>744</v>
      </c>
    </row>
    <row r="81" customFormat="false" ht="15" hidden="false" customHeight="true" outlineLevel="0" collapsed="false">
      <c r="A81" s="4" t="s">
        <v>75</v>
      </c>
      <c r="B81" s="5" t="s">
        <v>719</v>
      </c>
      <c r="C81" s="5" t="s">
        <v>663</v>
      </c>
      <c r="D81" s="5" t="s">
        <v>745</v>
      </c>
    </row>
    <row r="82" customFormat="false" ht="15" hidden="false" customHeight="true" outlineLevel="0" collapsed="false">
      <c r="A82" s="8" t="s">
        <v>746</v>
      </c>
      <c r="B82" s="9" t="s">
        <v>719</v>
      </c>
      <c r="C82" s="9" t="s">
        <v>679</v>
      </c>
      <c r="D82" s="9" t="s">
        <v>387</v>
      </c>
    </row>
    <row r="83" customFormat="false" ht="15" hidden="false" customHeight="true" outlineLevel="0" collapsed="false">
      <c r="A83" s="4" t="s">
        <v>471</v>
      </c>
      <c r="B83" s="5" t="s">
        <v>719</v>
      </c>
      <c r="C83" s="5" t="s">
        <v>663</v>
      </c>
      <c r="D83" s="5" t="s">
        <v>747</v>
      </c>
    </row>
    <row r="84" customFormat="false" ht="15" hidden="false" customHeight="true" outlineLevel="0" collapsed="false">
      <c r="A84" s="8" t="s">
        <v>475</v>
      </c>
      <c r="B84" s="9" t="s">
        <v>719</v>
      </c>
      <c r="C84" s="9" t="s">
        <v>663</v>
      </c>
      <c r="D84" s="9" t="s">
        <v>472</v>
      </c>
    </row>
    <row r="85" customFormat="false" ht="15" hidden="false" customHeight="true" outlineLevel="0" collapsed="false">
      <c r="A85" s="4" t="s">
        <v>418</v>
      </c>
      <c r="B85" s="5" t="s">
        <v>719</v>
      </c>
      <c r="C85" s="5" t="s">
        <v>663</v>
      </c>
      <c r="D85" s="5" t="s">
        <v>748</v>
      </c>
    </row>
    <row r="86" customFormat="false" ht="15" hidden="false" customHeight="true" outlineLevel="0" collapsed="false">
      <c r="A86" s="8" t="s">
        <v>428</v>
      </c>
      <c r="B86" s="9" t="s">
        <v>719</v>
      </c>
      <c r="C86" s="9" t="s">
        <v>663</v>
      </c>
      <c r="D86" s="9" t="s">
        <v>749</v>
      </c>
    </row>
    <row r="87" customFormat="false" ht="15" hidden="false" customHeight="true" outlineLevel="0" collapsed="false">
      <c r="A87" s="4" t="s">
        <v>437</v>
      </c>
      <c r="B87" s="5" t="s">
        <v>719</v>
      </c>
      <c r="C87" s="5" t="s">
        <v>663</v>
      </c>
      <c r="D87" s="5" t="s">
        <v>750</v>
      </c>
    </row>
    <row r="88" customFormat="false" ht="15" hidden="false" customHeight="true" outlineLevel="0" collapsed="false">
      <c r="A88" s="8" t="s">
        <v>397</v>
      </c>
      <c r="B88" s="9" t="s">
        <v>719</v>
      </c>
      <c r="C88" s="9" t="s">
        <v>663</v>
      </c>
      <c r="D88" s="6" t="s">
        <v>751</v>
      </c>
    </row>
    <row r="89" customFormat="false" ht="15" hidden="false" customHeight="true" outlineLevel="0" collapsed="false">
      <c r="A89" s="4" t="s">
        <v>446</v>
      </c>
      <c r="B89" s="5" t="s">
        <v>719</v>
      </c>
      <c r="C89" s="5" t="s">
        <v>663</v>
      </c>
      <c r="D89" s="5" t="s">
        <v>712</v>
      </c>
    </row>
    <row r="90" customFormat="false" ht="15" hidden="false" customHeight="true" outlineLevel="0" collapsed="false">
      <c r="A90" s="8" t="s">
        <v>67</v>
      </c>
      <c r="B90" s="9" t="s">
        <v>719</v>
      </c>
      <c r="C90" s="9" t="s">
        <v>663</v>
      </c>
      <c r="D90" s="9" t="s">
        <v>711</v>
      </c>
    </row>
    <row r="91" customFormat="false" ht="15" hidden="false" customHeight="true" outlineLevel="0" collapsed="false">
      <c r="A91" s="4" t="s">
        <v>498</v>
      </c>
      <c r="B91" s="5" t="s">
        <v>719</v>
      </c>
      <c r="C91" s="5" t="s">
        <v>663</v>
      </c>
      <c r="D91" s="5" t="s">
        <v>707</v>
      </c>
    </row>
    <row r="92" customFormat="false" ht="15" hidden="false" customHeight="true" outlineLevel="0" collapsed="false">
      <c r="A92" s="8" t="s">
        <v>319</v>
      </c>
      <c r="B92" s="9" t="s">
        <v>719</v>
      </c>
      <c r="C92" s="9" t="s">
        <v>663</v>
      </c>
      <c r="D92" s="9" t="s">
        <v>752</v>
      </c>
    </row>
    <row r="93" customFormat="false" ht="15" hidden="false" customHeight="true" outlineLevel="0" collapsed="false">
      <c r="A93" s="4" t="s">
        <v>506</v>
      </c>
      <c r="B93" s="5" t="s">
        <v>719</v>
      </c>
      <c r="C93" s="5" t="s">
        <v>663</v>
      </c>
      <c r="D93" s="5" t="s">
        <v>502</v>
      </c>
    </row>
    <row r="94" customFormat="false" ht="15" hidden="false" customHeight="true" outlineLevel="0" collapsed="false">
      <c r="A94" s="8" t="s">
        <v>511</v>
      </c>
      <c r="B94" s="9" t="s">
        <v>719</v>
      </c>
      <c r="C94" s="9" t="s">
        <v>663</v>
      </c>
      <c r="D94" s="9" t="s">
        <v>507</v>
      </c>
    </row>
    <row r="95" customFormat="false" ht="15" hidden="false" customHeight="true" outlineLevel="0" collapsed="false">
      <c r="A95" s="4" t="s">
        <v>452</v>
      </c>
      <c r="B95" s="5" t="s">
        <v>719</v>
      </c>
      <c r="C95" s="5" t="s">
        <v>663</v>
      </c>
      <c r="D95" s="5" t="s">
        <v>753</v>
      </c>
    </row>
    <row r="96" customFormat="false" ht="15" hidden="false" customHeight="true" outlineLevel="0" collapsed="false">
      <c r="A96" s="8" t="s">
        <v>754</v>
      </c>
      <c r="B96" s="9" t="s">
        <v>719</v>
      </c>
      <c r="C96" s="9" t="s">
        <v>663</v>
      </c>
      <c r="D96" s="9" t="s">
        <v>755</v>
      </c>
    </row>
    <row r="97" customFormat="false" ht="15" hidden="false" customHeight="true" outlineLevel="0" collapsed="false">
      <c r="A97" s="4" t="s">
        <v>756</v>
      </c>
      <c r="B97" s="5" t="s">
        <v>719</v>
      </c>
      <c r="C97" s="5" t="s">
        <v>679</v>
      </c>
      <c r="D97" s="5" t="s">
        <v>519</v>
      </c>
    </row>
    <row r="98" customFormat="false" ht="15" hidden="false" customHeight="true" outlineLevel="0" collapsed="false">
      <c r="A98" s="8" t="s">
        <v>757</v>
      </c>
      <c r="B98" s="9" t="s">
        <v>719</v>
      </c>
      <c r="C98" s="9" t="s">
        <v>679</v>
      </c>
      <c r="D98" s="9" t="s">
        <v>716</v>
      </c>
    </row>
    <row r="99" customFormat="false" ht="15" hidden="false" customHeight="true" outlineLevel="0" collapsed="false">
      <c r="A99" s="4" t="s">
        <v>14</v>
      </c>
      <c r="B99" s="5" t="s">
        <v>758</v>
      </c>
      <c r="C99" s="5" t="s">
        <v>663</v>
      </c>
      <c r="D99" s="5" t="s">
        <v>759</v>
      </c>
    </row>
    <row r="100" customFormat="false" ht="15" hidden="false" customHeight="true" outlineLevel="0" collapsed="false">
      <c r="A100" s="8" t="s">
        <v>398</v>
      </c>
      <c r="B100" s="9" t="s">
        <v>758</v>
      </c>
      <c r="C100" s="9" t="s">
        <v>663</v>
      </c>
      <c r="D100" s="9" t="s">
        <v>760</v>
      </c>
    </row>
    <row r="101" customFormat="false" ht="15" hidden="false" customHeight="true" outlineLevel="0" collapsed="false">
      <c r="A101" s="4" t="s">
        <v>761</v>
      </c>
      <c r="B101" s="5" t="s">
        <v>758</v>
      </c>
      <c r="C101" s="5" t="s">
        <v>663</v>
      </c>
      <c r="D101" s="5" t="s">
        <v>45</v>
      </c>
    </row>
    <row r="102" customFormat="false" ht="15" hidden="false" customHeight="true" outlineLevel="0" collapsed="false">
      <c r="A102" s="8" t="s">
        <v>223</v>
      </c>
      <c r="B102" s="9" t="s">
        <v>758</v>
      </c>
      <c r="C102" s="9" t="s">
        <v>663</v>
      </c>
      <c r="D102" s="9" t="s">
        <v>218</v>
      </c>
    </row>
    <row r="103" customFormat="false" ht="15" hidden="false" customHeight="true" outlineLevel="0" collapsed="false">
      <c r="A103" s="4" t="s">
        <v>104</v>
      </c>
      <c r="B103" s="5" t="s">
        <v>758</v>
      </c>
      <c r="C103" s="5" t="s">
        <v>663</v>
      </c>
      <c r="D103" s="5" t="s">
        <v>762</v>
      </c>
    </row>
    <row r="104" customFormat="false" ht="15" hidden="false" customHeight="true" outlineLevel="0" collapsed="false">
      <c r="A104" s="8" t="s">
        <v>234</v>
      </c>
      <c r="B104" s="9" t="s">
        <v>758</v>
      </c>
      <c r="C104" s="9" t="s">
        <v>663</v>
      </c>
      <c r="D104" s="9" t="s">
        <v>763</v>
      </c>
    </row>
    <row r="105" customFormat="false" ht="15" hidden="false" customHeight="true" outlineLevel="0" collapsed="false">
      <c r="A105" s="4" t="s">
        <v>764</v>
      </c>
      <c r="B105" s="5" t="s">
        <v>758</v>
      </c>
      <c r="C105" s="5" t="s">
        <v>663</v>
      </c>
      <c r="D105" s="5" t="s">
        <v>765</v>
      </c>
    </row>
    <row r="106" customFormat="false" ht="15" hidden="false" customHeight="true" outlineLevel="0" collapsed="false">
      <c r="A106" s="8" t="s">
        <v>281</v>
      </c>
      <c r="B106" s="9" t="s">
        <v>758</v>
      </c>
      <c r="C106" s="9" t="s">
        <v>663</v>
      </c>
      <c r="D106" s="9" t="s">
        <v>766</v>
      </c>
    </row>
    <row r="107" customFormat="false" ht="15" hidden="false" customHeight="true" outlineLevel="0" collapsed="false">
      <c r="A107" s="4" t="s">
        <v>165</v>
      </c>
      <c r="B107" s="5" t="s">
        <v>758</v>
      </c>
      <c r="C107" s="5" t="s">
        <v>663</v>
      </c>
      <c r="D107" s="5" t="s">
        <v>767</v>
      </c>
    </row>
    <row r="108" customFormat="false" ht="15" hidden="false" customHeight="true" outlineLevel="0" collapsed="false">
      <c r="A108" s="8" t="s">
        <v>93</v>
      </c>
      <c r="B108" s="9" t="s">
        <v>758</v>
      </c>
      <c r="C108" s="9" t="s">
        <v>663</v>
      </c>
      <c r="D108" s="9" t="s">
        <v>768</v>
      </c>
    </row>
    <row r="109" customFormat="false" ht="15" hidden="false" customHeight="true" outlineLevel="0" collapsed="false">
      <c r="A109" s="4" t="s">
        <v>26</v>
      </c>
      <c r="B109" s="5" t="s">
        <v>758</v>
      </c>
      <c r="C109" s="5" t="s">
        <v>663</v>
      </c>
      <c r="D109" s="5" t="s">
        <v>769</v>
      </c>
    </row>
    <row r="110" customFormat="false" ht="15" hidden="false" customHeight="true" outlineLevel="0" collapsed="false">
      <c r="A110" s="8" t="s">
        <v>121</v>
      </c>
      <c r="B110" s="9" t="s">
        <v>758</v>
      </c>
      <c r="C110" s="9" t="s">
        <v>663</v>
      </c>
      <c r="D110" s="9" t="s">
        <v>770</v>
      </c>
    </row>
    <row r="111" customFormat="false" ht="15" hidden="false" customHeight="true" outlineLevel="0" collapsed="false">
      <c r="A111" s="4" t="s">
        <v>68</v>
      </c>
      <c r="B111" s="5" t="s">
        <v>758</v>
      </c>
      <c r="C111" s="5" t="s">
        <v>663</v>
      </c>
      <c r="D111" s="5" t="s">
        <v>771</v>
      </c>
    </row>
    <row r="112" customFormat="false" ht="15" hidden="false" customHeight="true" outlineLevel="0" collapsed="false">
      <c r="A112" s="8" t="s">
        <v>772</v>
      </c>
      <c r="B112" s="9" t="s">
        <v>758</v>
      </c>
      <c r="C112" s="9" t="s">
        <v>663</v>
      </c>
      <c r="D112" s="9" t="s">
        <v>773</v>
      </c>
    </row>
    <row r="113" customFormat="false" ht="15" hidden="false" customHeight="true" outlineLevel="0" collapsed="false">
      <c r="A113" s="4" t="s">
        <v>260</v>
      </c>
      <c r="B113" s="5" t="s">
        <v>758</v>
      </c>
      <c r="C113" s="5" t="s">
        <v>663</v>
      </c>
      <c r="D113" s="6" t="s">
        <v>743</v>
      </c>
    </row>
    <row r="114" customFormat="false" ht="15" hidden="false" customHeight="true" outlineLevel="0" collapsed="false">
      <c r="A114" s="8" t="s">
        <v>539</v>
      </c>
      <c r="B114" s="9" t="s">
        <v>758</v>
      </c>
      <c r="C114" s="9" t="s">
        <v>663</v>
      </c>
      <c r="D114" s="6" t="s">
        <v>774</v>
      </c>
    </row>
    <row r="115" customFormat="false" ht="15" hidden="false" customHeight="true" outlineLevel="0" collapsed="false">
      <c r="A115" s="4" t="s">
        <v>356</v>
      </c>
      <c r="B115" s="5" t="s">
        <v>758</v>
      </c>
      <c r="C115" s="5" t="s">
        <v>663</v>
      </c>
      <c r="D115" s="5" t="s">
        <v>775</v>
      </c>
    </row>
    <row r="116" customFormat="false" ht="15" hidden="false" customHeight="true" outlineLevel="0" collapsed="false">
      <c r="A116" s="8" t="s">
        <v>133</v>
      </c>
      <c r="B116" s="9" t="s">
        <v>758</v>
      </c>
      <c r="C116" s="9" t="s">
        <v>663</v>
      </c>
      <c r="D116" s="9" t="s">
        <v>776</v>
      </c>
    </row>
    <row r="117" customFormat="false" ht="15" hidden="false" customHeight="true" outlineLevel="0" collapsed="false">
      <c r="A117" s="4" t="s">
        <v>777</v>
      </c>
      <c r="B117" s="5" t="s">
        <v>758</v>
      </c>
      <c r="C117" s="5" t="s">
        <v>663</v>
      </c>
      <c r="D117" s="5" t="s">
        <v>778</v>
      </c>
    </row>
    <row r="118" customFormat="false" ht="15" hidden="false" customHeight="true" outlineLevel="0" collapsed="false">
      <c r="A118" s="8" t="s">
        <v>189</v>
      </c>
      <c r="B118" s="9" t="s">
        <v>758</v>
      </c>
      <c r="C118" s="9" t="s">
        <v>663</v>
      </c>
      <c r="D118" s="9" t="s">
        <v>779</v>
      </c>
    </row>
    <row r="119" customFormat="false" ht="15" hidden="false" customHeight="true" outlineLevel="0" collapsed="false">
      <c r="A119" s="4" t="s">
        <v>382</v>
      </c>
      <c r="B119" s="5" t="s">
        <v>758</v>
      </c>
      <c r="C119" s="5" t="s">
        <v>663</v>
      </c>
      <c r="D119" s="5" t="s">
        <v>780</v>
      </c>
    </row>
    <row r="120" customFormat="false" ht="15" hidden="false" customHeight="true" outlineLevel="0" collapsed="false">
      <c r="A120" s="8" t="s">
        <v>275</v>
      </c>
      <c r="B120" s="9" t="s">
        <v>758</v>
      </c>
      <c r="C120" s="9" t="s">
        <v>663</v>
      </c>
      <c r="D120" s="9" t="s">
        <v>781</v>
      </c>
    </row>
    <row r="121" customFormat="false" ht="15" hidden="false" customHeight="true" outlineLevel="0" collapsed="false">
      <c r="A121" s="4" t="s">
        <v>295</v>
      </c>
      <c r="B121" s="5" t="s">
        <v>758</v>
      </c>
      <c r="C121" s="5" t="s">
        <v>663</v>
      </c>
      <c r="D121" s="5" t="s">
        <v>291</v>
      </c>
    </row>
    <row r="122" customFormat="false" ht="15" hidden="false" customHeight="true" outlineLevel="0" collapsed="false">
      <c r="A122" s="8" t="s">
        <v>300</v>
      </c>
      <c r="B122" s="9" t="s">
        <v>758</v>
      </c>
      <c r="C122" s="9" t="s">
        <v>663</v>
      </c>
      <c r="D122" s="9" t="s">
        <v>782</v>
      </c>
    </row>
    <row r="123" customFormat="false" ht="15" hidden="false" customHeight="true" outlineLevel="0" collapsed="false">
      <c r="A123" s="4" t="s">
        <v>39</v>
      </c>
      <c r="B123" s="5" t="s">
        <v>758</v>
      </c>
      <c r="C123" s="5" t="s">
        <v>663</v>
      </c>
      <c r="D123" s="5" t="s">
        <v>783</v>
      </c>
    </row>
    <row r="124" customFormat="false" ht="15" hidden="false" customHeight="true" outlineLevel="0" collapsed="false">
      <c r="A124" s="8" t="s">
        <v>127</v>
      </c>
      <c r="B124" s="9" t="s">
        <v>758</v>
      </c>
      <c r="C124" s="9" t="s">
        <v>679</v>
      </c>
      <c r="D124" s="9" t="s">
        <v>784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0"/>
  </cols>
  <sheetData>
    <row r="1" customFormat="false" ht="17.25" hidden="false" customHeight="true" outlineLevel="0" collapsed="false">
      <c r="A1" s="20" t="s">
        <v>785</v>
      </c>
      <c r="B1" s="20"/>
    </row>
    <row r="2" customFormat="false" ht="16.5" hidden="false" customHeight="true" outlineLevel="0" collapsed="false"/>
    <row r="3" customFormat="false" ht="42" hidden="false" customHeight="true" outlineLevel="0" collapsed="false">
      <c r="A3" s="21" t="n">
        <v>1</v>
      </c>
      <c r="B3" s="22" t="s">
        <v>786</v>
      </c>
    </row>
    <row r="4" customFormat="false" ht="42" hidden="false" customHeight="true" outlineLevel="0" collapsed="false">
      <c r="A4" s="21" t="n">
        <v>2</v>
      </c>
      <c r="B4" s="22" t="s">
        <v>787</v>
      </c>
    </row>
    <row r="5" customFormat="false" ht="42" hidden="false" customHeight="true" outlineLevel="0" collapsed="false">
      <c r="A5" s="21" t="n">
        <v>3</v>
      </c>
      <c r="B5" s="22" t="s">
        <v>788</v>
      </c>
    </row>
    <row r="6" customFormat="false" ht="42" hidden="false" customHeight="true" outlineLevel="0" collapsed="false">
      <c r="A6" s="21" t="n">
        <v>4</v>
      </c>
      <c r="B6" s="22" t="s">
        <v>789</v>
      </c>
    </row>
    <row r="7" customFormat="false" ht="42" hidden="false" customHeight="true" outlineLevel="0" collapsed="false">
      <c r="A7" s="21" t="n">
        <v>5</v>
      </c>
      <c r="B7" s="22" t="s">
        <v>790</v>
      </c>
    </row>
    <row r="8" customFormat="false" ht="42" hidden="false" customHeight="true" outlineLevel="0" collapsed="false">
      <c r="A8" s="21" t="n">
        <v>6</v>
      </c>
      <c r="B8" s="22" t="s">
        <v>791</v>
      </c>
    </row>
    <row r="9" customFormat="false" ht="42.75" hidden="false" customHeight="true" outlineLevel="0" collapsed="false">
      <c r="A9" s="23" t="n">
        <v>7</v>
      </c>
      <c r="B9" s="24" t="s">
        <v>792</v>
      </c>
    </row>
    <row r="10" customFormat="false" ht="42.75" hidden="false" customHeight="true" outlineLevel="0" collapsed="false">
      <c r="A10" s="23" t="n">
        <v>8</v>
      </c>
      <c r="B10" s="24" t="s">
        <v>793</v>
      </c>
    </row>
    <row r="11" customFormat="false" ht="42.75" hidden="false" customHeight="true" outlineLevel="0" collapsed="false">
      <c r="A11" s="23" t="n">
        <v>9</v>
      </c>
      <c r="B11" s="24" t="s">
        <v>794</v>
      </c>
    </row>
    <row r="12" customFormat="false" ht="42.75" hidden="false" customHeight="true" outlineLevel="0" collapsed="false">
      <c r="A12" s="23" t="n">
        <v>10</v>
      </c>
      <c r="B12" s="24" t="s">
        <v>795</v>
      </c>
    </row>
    <row r="13" customFormat="false" ht="42.75" hidden="false" customHeight="true" outlineLevel="0" collapsed="false">
      <c r="A13" s="23" t="n">
        <v>11</v>
      </c>
      <c r="B13" s="24" t="s">
        <v>796</v>
      </c>
    </row>
    <row r="14" customFormat="false" ht="42.75" hidden="false" customHeight="true" outlineLevel="0" collapsed="false">
      <c r="A14" s="23" t="n">
        <v>12</v>
      </c>
      <c r="B14" s="24" t="s">
        <v>797</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8"/>
    <col collapsed="false" customWidth="true" hidden="false" outlineLevel="0" max="3" min="3" style="1" width="13"/>
    <col collapsed="false" customWidth="true" hidden="false" outlineLevel="0" max="4" min="4" style="1" width="8"/>
    <col collapsed="false" customWidth="true" hidden="false" outlineLevel="0" max="5" min="5" style="1" width="18"/>
    <col collapsed="false" customWidth="true" hidden="false" outlineLevel="0" max="6" min="6" style="1" width="45"/>
    <col collapsed="false" customWidth="true" hidden="false" outlineLevel="0" max="7" min="7" style="1" width="50"/>
    <col collapsed="false" customWidth="true" hidden="false" outlineLevel="0" max="8" min="8" style="1" width="45"/>
    <col collapsed="false" customWidth="true" hidden="false" outlineLevel="0" max="9" min="9" style="1" width="34"/>
    <col collapsed="false" customWidth="true" hidden="false" outlineLevel="0" max="10" min="10" style="1" width="11"/>
  </cols>
  <sheetData>
    <row r="1" customFormat="false" ht="30" hidden="false" customHeight="true" outlineLevel="0" collapsed="false">
      <c r="A1" s="2" t="s">
        <v>798</v>
      </c>
      <c r="B1" s="2"/>
      <c r="C1" s="2"/>
      <c r="D1" s="2"/>
      <c r="E1" s="2"/>
      <c r="F1" s="2"/>
      <c r="G1" s="2"/>
      <c r="H1" s="2"/>
      <c r="I1" s="2"/>
      <c r="J1" s="2"/>
    </row>
    <row r="2" customFormat="false" ht="30" hidden="false" customHeight="true" outlineLevel="0" collapsed="false">
      <c r="A2" s="3" t="s">
        <v>799</v>
      </c>
      <c r="B2" s="3" t="s">
        <v>800</v>
      </c>
      <c r="C2" s="3" t="s">
        <v>801</v>
      </c>
      <c r="D2" s="3" t="s">
        <v>802</v>
      </c>
      <c r="E2" s="3" t="s">
        <v>803</v>
      </c>
      <c r="F2" s="3" t="s">
        <v>804</v>
      </c>
      <c r="G2" s="3" t="s">
        <v>805</v>
      </c>
      <c r="H2" s="3" t="s">
        <v>806</v>
      </c>
      <c r="I2" s="3" t="s">
        <v>807</v>
      </c>
      <c r="J2" s="3" t="s">
        <v>808</v>
      </c>
    </row>
    <row r="3" customFormat="false" ht="73.5" hidden="false" customHeight="true" outlineLevel="0" collapsed="false">
      <c r="A3" s="4" t="s">
        <v>809</v>
      </c>
      <c r="B3" s="4" t="s">
        <v>593</v>
      </c>
      <c r="C3" s="4" t="s">
        <v>95</v>
      </c>
      <c r="D3" s="4" t="s">
        <v>810</v>
      </c>
      <c r="E3" s="4" t="s">
        <v>2</v>
      </c>
      <c r="F3" s="4" t="s">
        <v>811</v>
      </c>
      <c r="G3" s="4" t="s">
        <v>96</v>
      </c>
      <c r="H3" s="4" t="s">
        <v>812</v>
      </c>
      <c r="I3" s="4" t="s">
        <v>813</v>
      </c>
      <c r="J3" s="4" t="s">
        <v>814</v>
      </c>
    </row>
    <row r="4" customFormat="false" ht="114" hidden="false" customHeight="true" outlineLevel="0" collapsed="false">
      <c r="A4" s="4" t="s">
        <v>815</v>
      </c>
      <c r="B4" s="4" t="s">
        <v>593</v>
      </c>
      <c r="C4" s="4" t="s">
        <v>99</v>
      </c>
      <c r="D4" s="4" t="s">
        <v>816</v>
      </c>
      <c r="E4" s="4" t="s">
        <v>3</v>
      </c>
      <c r="F4" s="4" t="s">
        <v>817</v>
      </c>
      <c r="G4" s="4" t="s">
        <v>101</v>
      </c>
      <c r="H4" s="4" t="s">
        <v>818</v>
      </c>
      <c r="I4" s="4" t="s">
        <v>819</v>
      </c>
      <c r="J4" s="4" t="s">
        <v>820</v>
      </c>
    </row>
    <row r="5" customFormat="false" ht="73.5" hidden="false" customHeight="true" outlineLevel="0" collapsed="false">
      <c r="A5" s="4" t="s">
        <v>821</v>
      </c>
      <c r="B5" s="4" t="s">
        <v>593</v>
      </c>
      <c r="C5" s="4" t="s">
        <v>116</v>
      </c>
      <c r="D5" s="4" t="s">
        <v>822</v>
      </c>
      <c r="E5" s="4" t="s">
        <v>4</v>
      </c>
      <c r="F5" s="4" t="s">
        <v>823</v>
      </c>
      <c r="G5" s="4" t="s">
        <v>119</v>
      </c>
      <c r="H5" s="4" t="s">
        <v>824</v>
      </c>
      <c r="I5" s="4" t="s">
        <v>825</v>
      </c>
      <c r="J5" s="4" t="s">
        <v>826</v>
      </c>
    </row>
    <row r="6" customFormat="false" ht="46.5" hidden="false" customHeight="true" outlineLevel="0" collapsed="false">
      <c r="A6" s="4" t="s">
        <v>827</v>
      </c>
      <c r="B6" s="4" t="s">
        <v>593</v>
      </c>
      <c r="C6" s="4" t="s">
        <v>144</v>
      </c>
      <c r="D6" s="4" t="s">
        <v>828</v>
      </c>
      <c r="E6" s="4" t="s">
        <v>3</v>
      </c>
      <c r="F6" s="4" t="s">
        <v>829</v>
      </c>
      <c r="G6" s="4" t="s">
        <v>146</v>
      </c>
      <c r="H6" s="4" t="s">
        <v>830</v>
      </c>
      <c r="I6" s="4" t="s">
        <v>831</v>
      </c>
      <c r="J6" s="4" t="s">
        <v>832</v>
      </c>
    </row>
    <row r="7" customFormat="false" ht="87" hidden="false" customHeight="true" outlineLevel="0" collapsed="false">
      <c r="A7" s="4" t="s">
        <v>833</v>
      </c>
      <c r="B7" s="4" t="s">
        <v>593</v>
      </c>
      <c r="C7" s="4" t="s">
        <v>180</v>
      </c>
      <c r="D7" s="4" t="s">
        <v>834</v>
      </c>
      <c r="E7" s="4" t="s">
        <v>3</v>
      </c>
      <c r="F7" s="4" t="s">
        <v>835</v>
      </c>
      <c r="G7" s="4" t="s">
        <v>182</v>
      </c>
      <c r="H7" s="4" t="s">
        <v>836</v>
      </c>
      <c r="I7" s="4" t="s">
        <v>837</v>
      </c>
      <c r="J7" s="4" t="s">
        <v>838</v>
      </c>
    </row>
    <row r="8" customFormat="false" ht="60" hidden="false" customHeight="true" outlineLevel="0" collapsed="false">
      <c r="A8" s="4" t="s">
        <v>839</v>
      </c>
      <c r="B8" s="4" t="s">
        <v>593</v>
      </c>
      <c r="C8" s="4" t="s">
        <v>193</v>
      </c>
      <c r="D8" s="4" t="s">
        <v>840</v>
      </c>
      <c r="E8" s="4" t="s">
        <v>3</v>
      </c>
      <c r="F8" s="4" t="s">
        <v>841</v>
      </c>
      <c r="G8" s="4" t="s">
        <v>842</v>
      </c>
      <c r="H8" s="4" t="s">
        <v>843</v>
      </c>
      <c r="I8" s="4" t="s">
        <v>844</v>
      </c>
      <c r="J8" s="4" t="s">
        <v>845</v>
      </c>
    </row>
    <row r="9" customFormat="false" ht="100.5" hidden="false" customHeight="true" outlineLevel="0" collapsed="false">
      <c r="A9" s="4" t="s">
        <v>846</v>
      </c>
      <c r="B9" s="4" t="s">
        <v>598</v>
      </c>
      <c r="C9" s="4" t="s">
        <v>250</v>
      </c>
      <c r="D9" s="4" t="s">
        <v>847</v>
      </c>
      <c r="E9" s="4" t="s">
        <v>3</v>
      </c>
      <c r="F9" s="4" t="s">
        <v>848</v>
      </c>
      <c r="G9" s="4" t="s">
        <v>849</v>
      </c>
      <c r="H9" s="4" t="s">
        <v>850</v>
      </c>
      <c r="I9" s="4" t="s">
        <v>851</v>
      </c>
      <c r="J9" s="4" t="s">
        <v>852</v>
      </c>
    </row>
    <row r="10" customFormat="false" ht="114" hidden="false" customHeight="true" outlineLevel="0" collapsed="false">
      <c r="A10" s="4" t="s">
        <v>853</v>
      </c>
      <c r="B10" s="4" t="s">
        <v>598</v>
      </c>
      <c r="C10" s="4" t="s">
        <v>291</v>
      </c>
      <c r="D10" s="4" t="s">
        <v>854</v>
      </c>
      <c r="E10" s="4" t="s">
        <v>3</v>
      </c>
      <c r="F10" s="4" t="s">
        <v>855</v>
      </c>
      <c r="G10" s="4" t="s">
        <v>856</v>
      </c>
      <c r="H10" s="4" t="s">
        <v>857</v>
      </c>
      <c r="I10" s="4" t="s">
        <v>858</v>
      </c>
      <c r="J10" s="4" t="s">
        <v>859</v>
      </c>
    </row>
    <row r="11" customFormat="false" ht="100.5" hidden="false" customHeight="true" outlineLevel="0" collapsed="false">
      <c r="A11" s="4" t="s">
        <v>860</v>
      </c>
      <c r="B11" s="4" t="s">
        <v>598</v>
      </c>
      <c r="C11" s="4" t="s">
        <v>305</v>
      </c>
      <c r="D11" s="4" t="s">
        <v>861</v>
      </c>
      <c r="E11" s="4" t="s">
        <v>3</v>
      </c>
      <c r="F11" s="4" t="s">
        <v>862</v>
      </c>
      <c r="G11" s="4" t="s">
        <v>863</v>
      </c>
      <c r="H11" s="4" t="s">
        <v>864</v>
      </c>
      <c r="I11" s="4" t="s">
        <v>865</v>
      </c>
      <c r="J11" s="4" t="s">
        <v>866</v>
      </c>
    </row>
    <row r="12" customFormat="false" ht="46.5" hidden="false" customHeight="true" outlineLevel="0" collapsed="false">
      <c r="A12" s="4" t="s">
        <v>867</v>
      </c>
      <c r="B12" s="4" t="s">
        <v>598</v>
      </c>
      <c r="C12" s="4" t="s">
        <v>320</v>
      </c>
      <c r="D12" s="4" t="s">
        <v>868</v>
      </c>
      <c r="E12" s="4" t="s">
        <v>4</v>
      </c>
      <c r="F12" s="4" t="s">
        <v>869</v>
      </c>
      <c r="G12" s="4" t="s">
        <v>323</v>
      </c>
      <c r="H12" s="4" t="s">
        <v>870</v>
      </c>
      <c r="I12" s="4" t="s">
        <v>871</v>
      </c>
      <c r="J12" s="4" t="s">
        <v>872</v>
      </c>
    </row>
    <row r="13" customFormat="false" ht="46.5" hidden="false" customHeight="true" outlineLevel="0" collapsed="false">
      <c r="A13" s="4" t="s">
        <v>873</v>
      </c>
      <c r="B13" s="4" t="s">
        <v>874</v>
      </c>
      <c r="C13" s="4" t="s">
        <v>467</v>
      </c>
      <c r="D13" s="4" t="s">
        <v>875</v>
      </c>
      <c r="E13" s="4" t="s">
        <v>4</v>
      </c>
      <c r="F13" s="4" t="s">
        <v>412</v>
      </c>
      <c r="G13" s="4" t="s">
        <v>470</v>
      </c>
      <c r="H13" s="4" t="s">
        <v>876</v>
      </c>
      <c r="I13" s="4" t="s">
        <v>877</v>
      </c>
      <c r="J13" s="4" t="s">
        <v>878</v>
      </c>
    </row>
    <row r="14" customFormat="false" ht="60" hidden="false" customHeight="true" outlineLevel="0" collapsed="false">
      <c r="A14" s="4" t="s">
        <v>879</v>
      </c>
      <c r="B14" s="4" t="s">
        <v>874</v>
      </c>
      <c r="C14" s="4" t="s">
        <v>519</v>
      </c>
      <c r="D14" s="4" t="s">
        <v>880</v>
      </c>
      <c r="E14" s="4" t="s">
        <v>4</v>
      </c>
      <c r="F14" s="4" t="s">
        <v>422</v>
      </c>
      <c r="G14" s="4" t="s">
        <v>522</v>
      </c>
      <c r="H14" s="4" t="s">
        <v>881</v>
      </c>
      <c r="I14" s="4" t="s">
        <v>882</v>
      </c>
      <c r="J14" s="4" t="s">
        <v>883</v>
      </c>
    </row>
    <row r="15" customFormat="false" ht="46.5" hidden="false" customHeight="true" outlineLevel="0" collapsed="false">
      <c r="A15" s="4" t="s">
        <v>884</v>
      </c>
      <c r="B15" s="4" t="s">
        <v>874</v>
      </c>
      <c r="C15" s="4" t="s">
        <v>462</v>
      </c>
      <c r="D15" s="4" t="s">
        <v>885</v>
      </c>
      <c r="E15" s="4" t="s">
        <v>5</v>
      </c>
      <c r="F15" s="4" t="s">
        <v>754</v>
      </c>
      <c r="G15" s="4" t="s">
        <v>466</v>
      </c>
      <c r="H15" s="4" t="s">
        <v>886</v>
      </c>
      <c r="I15" s="4" t="s">
        <v>887</v>
      </c>
      <c r="J15" s="4" t="s">
        <v>888</v>
      </c>
    </row>
    <row r="16" customFormat="false" ht="73.5" hidden="false" customHeight="true" outlineLevel="0" collapsed="false">
      <c r="A16" s="4" t="s">
        <v>889</v>
      </c>
      <c r="B16" s="4" t="s">
        <v>890</v>
      </c>
      <c r="C16" s="4" t="s">
        <v>540</v>
      </c>
      <c r="D16" s="4" t="s">
        <v>891</v>
      </c>
      <c r="E16" s="4" t="s">
        <v>3</v>
      </c>
      <c r="F16" s="4" t="s">
        <v>892</v>
      </c>
      <c r="G16" s="4" t="s">
        <v>542</v>
      </c>
      <c r="H16" s="4" t="s">
        <v>893</v>
      </c>
      <c r="I16" s="4" t="s">
        <v>894</v>
      </c>
      <c r="J16" s="4" t="s">
        <v>895</v>
      </c>
    </row>
    <row r="17" customFormat="false" ht="33" hidden="false" customHeight="true" outlineLevel="0" collapsed="false">
      <c r="A17" s="4" t="s">
        <v>896</v>
      </c>
      <c r="B17" s="4" t="s">
        <v>897</v>
      </c>
      <c r="C17" s="4" t="s">
        <v>422</v>
      </c>
      <c r="D17" s="4" t="s">
        <v>898</v>
      </c>
      <c r="E17" s="4" t="s">
        <v>660</v>
      </c>
      <c r="F17" s="4" t="s">
        <v>899</v>
      </c>
      <c r="G17" s="4" t="s">
        <v>707</v>
      </c>
      <c r="H17" s="4" t="s">
        <v>900</v>
      </c>
      <c r="I17" s="4" t="s">
        <v>901</v>
      </c>
      <c r="J17" s="4" t="s">
        <v>883</v>
      </c>
    </row>
    <row r="18" customFormat="false" ht="33" hidden="false" customHeight="true" outlineLevel="0" collapsed="false">
      <c r="A18" s="4" t="s">
        <v>902</v>
      </c>
      <c r="B18" s="4" t="s">
        <v>897</v>
      </c>
      <c r="C18" s="4" t="s">
        <v>451</v>
      </c>
      <c r="D18" s="4" t="s">
        <v>903</v>
      </c>
      <c r="E18" s="4" t="s">
        <v>660</v>
      </c>
      <c r="F18" s="4" t="s">
        <v>904</v>
      </c>
      <c r="G18" s="4" t="s">
        <v>713</v>
      </c>
      <c r="H18" s="4" t="s">
        <v>905</v>
      </c>
      <c r="I18" s="4" t="s">
        <v>906</v>
      </c>
      <c r="J18" s="4" t="s">
        <v>872</v>
      </c>
    </row>
    <row r="19" customFormat="false" ht="33" hidden="false" customHeight="true" outlineLevel="0" collapsed="false">
      <c r="A19" s="4" t="s">
        <v>907</v>
      </c>
      <c r="B19" s="4" t="s">
        <v>897</v>
      </c>
      <c r="C19" s="4" t="s">
        <v>456</v>
      </c>
      <c r="D19" s="4" t="s">
        <v>908</v>
      </c>
      <c r="E19" s="4" t="s">
        <v>660</v>
      </c>
      <c r="F19" s="4" t="s">
        <v>909</v>
      </c>
      <c r="G19" s="4" t="s">
        <v>714</v>
      </c>
      <c r="H19" s="4" t="s">
        <v>905</v>
      </c>
      <c r="I19" s="4" t="s">
        <v>906</v>
      </c>
      <c r="J19" s="4" t="s">
        <v>872</v>
      </c>
    </row>
    <row r="20" customFormat="false" ht="33" hidden="false" customHeight="true" outlineLevel="0" collapsed="false">
      <c r="A20" s="4" t="s">
        <v>910</v>
      </c>
      <c r="B20" s="4" t="s">
        <v>897</v>
      </c>
      <c r="C20" s="4" t="s">
        <v>397</v>
      </c>
      <c r="D20" s="4" t="s">
        <v>911</v>
      </c>
      <c r="E20" s="4" t="s">
        <v>660</v>
      </c>
      <c r="F20" s="4" t="s">
        <v>912</v>
      </c>
      <c r="G20" s="4" t="s">
        <v>913</v>
      </c>
      <c r="H20" s="4" t="s">
        <v>914</v>
      </c>
      <c r="I20" s="4" t="s">
        <v>915</v>
      </c>
      <c r="J20" s="4" t="s">
        <v>888</v>
      </c>
    </row>
    <row r="21" customFormat="false" ht="73.5" hidden="false" customHeight="true" outlineLevel="0" collapsed="false">
      <c r="A21" s="4" t="s">
        <v>916</v>
      </c>
      <c r="B21" s="4" t="s">
        <v>917</v>
      </c>
      <c r="C21" s="4" t="s">
        <v>918</v>
      </c>
      <c r="D21" s="4" t="s">
        <v>919</v>
      </c>
      <c r="E21" s="4" t="s">
        <v>920</v>
      </c>
      <c r="F21" s="4" t="s">
        <v>921</v>
      </c>
      <c r="G21" s="4" t="s">
        <v>792</v>
      </c>
      <c r="H21" s="4" t="s">
        <v>922</v>
      </c>
      <c r="I21" s="4" t="s">
        <v>923</v>
      </c>
      <c r="J21" s="4" t="s">
        <v>76</v>
      </c>
    </row>
    <row r="22" customFormat="false" ht="81.75" hidden="false" customHeight="true" outlineLevel="0" collapsed="false">
      <c r="A22" s="25" t="s">
        <v>924</v>
      </c>
      <c r="B22" s="25" t="s">
        <v>593</v>
      </c>
      <c r="C22" s="25" t="s">
        <v>9</v>
      </c>
      <c r="D22" s="25" t="s">
        <v>925</v>
      </c>
      <c r="E22" s="25" t="s">
        <v>3</v>
      </c>
      <c r="F22" s="25" t="s">
        <v>926</v>
      </c>
      <c r="G22" s="25" t="s">
        <v>11</v>
      </c>
      <c r="H22" s="25" t="s">
        <v>927</v>
      </c>
      <c r="I22" s="25" t="s">
        <v>928</v>
      </c>
      <c r="J22" s="25" t="s">
        <v>929</v>
      </c>
    </row>
    <row r="23" customFormat="false" ht="94.5" hidden="false" customHeight="true" outlineLevel="0" collapsed="false">
      <c r="A23" s="25" t="s">
        <v>930</v>
      </c>
      <c r="B23" s="25" t="s">
        <v>593</v>
      </c>
      <c r="C23" s="25" t="s">
        <v>17</v>
      </c>
      <c r="D23" s="25" t="s">
        <v>931</v>
      </c>
      <c r="E23" s="25" t="s">
        <v>3</v>
      </c>
      <c r="F23" s="25" t="s">
        <v>932</v>
      </c>
      <c r="G23" s="25" t="s">
        <v>19</v>
      </c>
      <c r="H23" s="25" t="s">
        <v>933</v>
      </c>
      <c r="I23" s="25" t="s">
        <v>934</v>
      </c>
      <c r="J23" s="25" t="s">
        <v>935</v>
      </c>
    </row>
    <row r="24" customFormat="false" ht="94.5" hidden="false" customHeight="true" outlineLevel="0" collapsed="false">
      <c r="A24" s="25" t="s">
        <v>936</v>
      </c>
      <c r="B24" s="25" t="s">
        <v>593</v>
      </c>
      <c r="C24" s="25" t="s">
        <v>45</v>
      </c>
      <c r="D24" s="25" t="s">
        <v>937</v>
      </c>
      <c r="E24" s="25" t="s">
        <v>3</v>
      </c>
      <c r="F24" s="25" t="s">
        <v>938</v>
      </c>
      <c r="G24" s="25" t="s">
        <v>47</v>
      </c>
      <c r="H24" s="25" t="s">
        <v>939</v>
      </c>
      <c r="I24" s="25" t="s">
        <v>940</v>
      </c>
      <c r="J24" s="25" t="s">
        <v>941</v>
      </c>
    </row>
    <row r="25" customFormat="false" ht="81.75" hidden="false" customHeight="true" outlineLevel="0" collapsed="false">
      <c r="A25" s="25" t="s">
        <v>942</v>
      </c>
      <c r="B25" s="25" t="s">
        <v>593</v>
      </c>
      <c r="C25" s="25" t="s">
        <v>51</v>
      </c>
      <c r="D25" s="25" t="s">
        <v>943</v>
      </c>
      <c r="E25" s="25" t="s">
        <v>3</v>
      </c>
      <c r="F25" s="25" t="s">
        <v>944</v>
      </c>
      <c r="G25" s="25" t="s">
        <v>53</v>
      </c>
      <c r="H25" s="25" t="s">
        <v>945</v>
      </c>
      <c r="I25" s="25" t="s">
        <v>946</v>
      </c>
      <c r="J25" s="25" t="s">
        <v>947</v>
      </c>
    </row>
    <row r="26" customFormat="false" ht="69" hidden="false" customHeight="true" outlineLevel="0" collapsed="false">
      <c r="A26" s="25" t="s">
        <v>948</v>
      </c>
      <c r="B26" s="25" t="s">
        <v>593</v>
      </c>
      <c r="C26" s="25" t="s">
        <v>84</v>
      </c>
      <c r="D26" s="25" t="s">
        <v>949</v>
      </c>
      <c r="E26" s="25" t="s">
        <v>3</v>
      </c>
      <c r="F26" s="25" t="s">
        <v>950</v>
      </c>
      <c r="G26" s="25" t="s">
        <v>86</v>
      </c>
      <c r="H26" s="25" t="s">
        <v>951</v>
      </c>
      <c r="I26" s="25" t="s">
        <v>952</v>
      </c>
      <c r="J26" s="25" t="s">
        <v>953</v>
      </c>
    </row>
    <row r="27" customFormat="false" ht="94.5" hidden="false" customHeight="true" outlineLevel="0" collapsed="false">
      <c r="A27" s="25" t="s">
        <v>954</v>
      </c>
      <c r="B27" s="25" t="s">
        <v>593</v>
      </c>
      <c r="C27" s="25" t="s">
        <v>89</v>
      </c>
      <c r="D27" s="25" t="s">
        <v>955</v>
      </c>
      <c r="E27" s="25" t="s">
        <v>3</v>
      </c>
      <c r="F27" s="25" t="s">
        <v>956</v>
      </c>
      <c r="G27" s="25" t="s">
        <v>91</v>
      </c>
      <c r="H27" s="25" t="s">
        <v>957</v>
      </c>
      <c r="I27" s="25" t="s">
        <v>958</v>
      </c>
      <c r="J27" s="25" t="s">
        <v>959</v>
      </c>
    </row>
    <row r="28" customFormat="false" ht="94.5" hidden="false" customHeight="true" outlineLevel="0" collapsed="false">
      <c r="A28" s="25" t="s">
        <v>960</v>
      </c>
      <c r="B28" s="25" t="s">
        <v>593</v>
      </c>
      <c r="C28" s="25" t="s">
        <v>116</v>
      </c>
      <c r="D28" s="25" t="s">
        <v>854</v>
      </c>
      <c r="E28" s="25" t="s">
        <v>3</v>
      </c>
      <c r="F28" s="25" t="s">
        <v>961</v>
      </c>
      <c r="G28" s="25" t="s">
        <v>118</v>
      </c>
      <c r="H28" s="25" t="s">
        <v>962</v>
      </c>
      <c r="I28" s="25" t="s">
        <v>963</v>
      </c>
      <c r="J28" s="25" t="s">
        <v>964</v>
      </c>
    </row>
    <row r="29" customFormat="false" ht="42.75" hidden="false" customHeight="true" outlineLevel="0" collapsed="false">
      <c r="A29" s="25" t="s">
        <v>965</v>
      </c>
      <c r="B29" s="25" t="s">
        <v>598</v>
      </c>
      <c r="C29" s="25" t="s">
        <v>203</v>
      </c>
      <c r="D29" s="25" t="s">
        <v>931</v>
      </c>
      <c r="E29" s="25" t="s">
        <v>3</v>
      </c>
      <c r="F29" s="25" t="s">
        <v>966</v>
      </c>
      <c r="G29" s="25" t="s">
        <v>205</v>
      </c>
      <c r="H29" s="25" t="s">
        <v>967</v>
      </c>
      <c r="I29" s="25" t="s">
        <v>968</v>
      </c>
      <c r="J29" s="25" t="s">
        <v>969</v>
      </c>
    </row>
    <row r="30" customFormat="false" ht="69" hidden="false" customHeight="true" outlineLevel="0" collapsed="false">
      <c r="A30" s="25" t="s">
        <v>970</v>
      </c>
      <c r="B30" s="25" t="s">
        <v>598</v>
      </c>
      <c r="C30" s="25" t="s">
        <v>214</v>
      </c>
      <c r="D30" s="25" t="s">
        <v>891</v>
      </c>
      <c r="E30" s="25" t="s">
        <v>3</v>
      </c>
      <c r="F30" s="25" t="s">
        <v>971</v>
      </c>
      <c r="G30" s="25" t="s">
        <v>216</v>
      </c>
      <c r="H30" s="25" t="s">
        <v>972</v>
      </c>
      <c r="I30" s="25" t="s">
        <v>973</v>
      </c>
      <c r="J30" s="25" t="s">
        <v>974</v>
      </c>
    </row>
    <row r="31" customFormat="false" ht="69" hidden="false" customHeight="true" outlineLevel="0" collapsed="false">
      <c r="A31" s="25" t="s">
        <v>975</v>
      </c>
      <c r="B31" s="25" t="s">
        <v>598</v>
      </c>
      <c r="C31" s="25" t="s">
        <v>245</v>
      </c>
      <c r="D31" s="25" t="s">
        <v>976</v>
      </c>
      <c r="E31" s="25" t="s">
        <v>3</v>
      </c>
      <c r="F31" s="25" t="s">
        <v>977</v>
      </c>
      <c r="G31" s="25" t="s">
        <v>247</v>
      </c>
      <c r="H31" s="25" t="s">
        <v>978</v>
      </c>
      <c r="I31" s="25" t="s">
        <v>979</v>
      </c>
      <c r="J31" s="25" t="s">
        <v>980</v>
      </c>
    </row>
    <row r="32" customFormat="false" ht="225" hidden="false" customHeight="true" outlineLevel="0" collapsed="false">
      <c r="A32" s="25" t="s">
        <v>981</v>
      </c>
      <c r="B32" s="25" t="s">
        <v>598</v>
      </c>
      <c r="C32" s="25" t="s">
        <v>250</v>
      </c>
      <c r="D32" s="25" t="s">
        <v>847</v>
      </c>
      <c r="E32" s="25" t="s">
        <v>3</v>
      </c>
      <c r="F32" s="25" t="s">
        <v>849</v>
      </c>
      <c r="G32" s="25" t="s">
        <v>252</v>
      </c>
      <c r="H32" s="25" t="s">
        <v>982</v>
      </c>
      <c r="I32" s="25" t="s">
        <v>983</v>
      </c>
      <c r="J32" s="25" t="s">
        <v>984</v>
      </c>
    </row>
    <row r="33" customFormat="false" ht="30" hidden="false" customHeight="true" outlineLevel="0" collapsed="false">
      <c r="A33" s="25" t="s">
        <v>985</v>
      </c>
      <c r="B33" s="25" t="s">
        <v>598</v>
      </c>
      <c r="C33" s="25" t="s">
        <v>250</v>
      </c>
      <c r="D33" s="25" t="s">
        <v>986</v>
      </c>
      <c r="E33" s="25" t="s">
        <v>6</v>
      </c>
      <c r="F33" s="25" t="s">
        <v>121</v>
      </c>
      <c r="G33" s="25" t="s">
        <v>255</v>
      </c>
      <c r="H33" s="25" t="s">
        <v>987</v>
      </c>
      <c r="I33" s="25" t="s">
        <v>988</v>
      </c>
      <c r="J33" s="25" t="s">
        <v>989</v>
      </c>
    </row>
    <row r="34" customFormat="false" ht="69" hidden="false" customHeight="true" outlineLevel="0" collapsed="false">
      <c r="A34" s="25" t="s">
        <v>990</v>
      </c>
      <c r="B34" s="25" t="s">
        <v>598</v>
      </c>
      <c r="C34" s="25" t="s">
        <v>256</v>
      </c>
      <c r="D34" s="25" t="s">
        <v>991</v>
      </c>
      <c r="E34" s="25" t="s">
        <v>3</v>
      </c>
      <c r="F34" s="25" t="s">
        <v>992</v>
      </c>
      <c r="G34" s="25" t="s">
        <v>258</v>
      </c>
      <c r="H34" s="25" t="s">
        <v>993</v>
      </c>
      <c r="I34" s="25" t="s">
        <v>994</v>
      </c>
      <c r="J34" s="25" t="s">
        <v>989</v>
      </c>
    </row>
    <row r="35" customFormat="false" ht="120.75" hidden="false" customHeight="true" outlineLevel="0" collapsed="false">
      <c r="A35" s="25" t="s">
        <v>995</v>
      </c>
      <c r="B35" s="25" t="s">
        <v>598</v>
      </c>
      <c r="C35" s="25" t="s">
        <v>261</v>
      </c>
      <c r="D35" s="25" t="s">
        <v>949</v>
      </c>
      <c r="E35" s="25" t="s">
        <v>3</v>
      </c>
      <c r="F35" s="25" t="s">
        <v>996</v>
      </c>
      <c r="G35" s="25" t="s">
        <v>263</v>
      </c>
      <c r="H35" s="25" t="s">
        <v>997</v>
      </c>
      <c r="I35" s="25" t="s">
        <v>998</v>
      </c>
      <c r="J35" s="25" t="s">
        <v>999</v>
      </c>
    </row>
    <row r="36" customFormat="false" ht="94.5" hidden="false" customHeight="true" outlineLevel="0" collapsed="false">
      <c r="A36" s="25" t="s">
        <v>1000</v>
      </c>
      <c r="B36" s="25" t="s">
        <v>598</v>
      </c>
      <c r="C36" s="25" t="s">
        <v>271</v>
      </c>
      <c r="D36" s="25" t="s">
        <v>1001</v>
      </c>
      <c r="E36" s="25" t="s">
        <v>3</v>
      </c>
      <c r="F36" s="25" t="s">
        <v>1002</v>
      </c>
      <c r="G36" s="25" t="s">
        <v>273</v>
      </c>
      <c r="H36" s="25" t="s">
        <v>1003</v>
      </c>
      <c r="I36" s="25" t="s">
        <v>1004</v>
      </c>
      <c r="J36" s="25" t="s">
        <v>1005</v>
      </c>
    </row>
    <row r="37" customFormat="false" ht="159.75" hidden="false" customHeight="true" outlineLevel="0" collapsed="false">
      <c r="A37" s="25" t="s">
        <v>1006</v>
      </c>
      <c r="B37" s="25" t="s">
        <v>598</v>
      </c>
      <c r="C37" s="25" t="s">
        <v>282</v>
      </c>
      <c r="D37" s="25" t="s">
        <v>1007</v>
      </c>
      <c r="E37" s="25" t="s">
        <v>3</v>
      </c>
      <c r="F37" s="25" t="s">
        <v>1008</v>
      </c>
      <c r="G37" s="25" t="s">
        <v>284</v>
      </c>
      <c r="H37" s="25" t="s">
        <v>1009</v>
      </c>
      <c r="I37" s="25" t="s">
        <v>1010</v>
      </c>
      <c r="J37" s="25" t="s">
        <v>1011</v>
      </c>
    </row>
    <row r="38" customFormat="false" ht="94.5" hidden="false" customHeight="true" outlineLevel="0" collapsed="false">
      <c r="A38" s="25" t="s">
        <v>1012</v>
      </c>
      <c r="B38" s="25" t="s">
        <v>598</v>
      </c>
      <c r="C38" s="25" t="s">
        <v>301</v>
      </c>
      <c r="D38" s="25" t="s">
        <v>1013</v>
      </c>
      <c r="E38" s="25" t="s">
        <v>3</v>
      </c>
      <c r="F38" s="25" t="s">
        <v>1014</v>
      </c>
      <c r="G38" s="25" t="s">
        <v>303</v>
      </c>
      <c r="H38" s="25" t="s">
        <v>1015</v>
      </c>
      <c r="I38" s="25" t="s">
        <v>1016</v>
      </c>
      <c r="J38" s="25" t="s">
        <v>1017</v>
      </c>
    </row>
    <row r="39" customFormat="false" ht="159.75" hidden="false" customHeight="true" outlineLevel="0" collapsed="false">
      <c r="A39" s="25" t="s">
        <v>1018</v>
      </c>
      <c r="B39" s="25" t="s">
        <v>598</v>
      </c>
      <c r="C39" s="25" t="s">
        <v>305</v>
      </c>
      <c r="D39" s="25" t="s">
        <v>861</v>
      </c>
      <c r="E39" s="25" t="s">
        <v>3</v>
      </c>
      <c r="F39" s="25" t="s">
        <v>863</v>
      </c>
      <c r="G39" s="25" t="s">
        <v>307</v>
      </c>
      <c r="H39" s="25" t="s">
        <v>1019</v>
      </c>
      <c r="I39" s="25" t="s">
        <v>1020</v>
      </c>
      <c r="J39" s="25" t="s">
        <v>1021</v>
      </c>
    </row>
    <row r="40" customFormat="false" ht="69" hidden="false" customHeight="true" outlineLevel="0" collapsed="false">
      <c r="A40" s="25" t="s">
        <v>1022</v>
      </c>
      <c r="B40" s="25" t="s">
        <v>598</v>
      </c>
      <c r="C40" s="25" t="s">
        <v>320</v>
      </c>
      <c r="D40" s="25" t="s">
        <v>1023</v>
      </c>
      <c r="E40" s="25" t="s">
        <v>3</v>
      </c>
      <c r="F40" s="25" t="s">
        <v>1024</v>
      </c>
      <c r="G40" s="25" t="s">
        <v>322</v>
      </c>
      <c r="H40" s="25" t="s">
        <v>1025</v>
      </c>
      <c r="I40" s="25" t="s">
        <v>1026</v>
      </c>
      <c r="J40" s="25" t="s">
        <v>1027</v>
      </c>
    </row>
    <row r="41" customFormat="false" ht="94.5" hidden="false" customHeight="true" outlineLevel="0" collapsed="false">
      <c r="A41" s="25" t="s">
        <v>1028</v>
      </c>
      <c r="B41" s="25" t="s">
        <v>598</v>
      </c>
      <c r="C41" s="25" t="s">
        <v>343</v>
      </c>
      <c r="D41" s="25" t="s">
        <v>1029</v>
      </c>
      <c r="E41" s="25" t="s">
        <v>3</v>
      </c>
      <c r="F41" s="25" t="s">
        <v>1030</v>
      </c>
      <c r="G41" s="25" t="s">
        <v>1031</v>
      </c>
      <c r="H41" s="25" t="s">
        <v>1032</v>
      </c>
      <c r="I41" s="25" t="s">
        <v>1033</v>
      </c>
      <c r="J41" s="25" t="s">
        <v>1034</v>
      </c>
    </row>
    <row r="42" customFormat="false" ht="69" hidden="false" customHeight="true" outlineLevel="0" collapsed="false">
      <c r="A42" s="25" t="s">
        <v>1035</v>
      </c>
      <c r="B42" s="25" t="s">
        <v>598</v>
      </c>
      <c r="C42" s="25" t="s">
        <v>375</v>
      </c>
      <c r="D42" s="25" t="s">
        <v>1036</v>
      </c>
      <c r="E42" s="25" t="s">
        <v>3</v>
      </c>
      <c r="F42" s="25" t="s">
        <v>1037</v>
      </c>
      <c r="G42" s="25" t="s">
        <v>377</v>
      </c>
      <c r="H42" s="25" t="s">
        <v>1038</v>
      </c>
      <c r="I42" s="25" t="s">
        <v>1039</v>
      </c>
      <c r="J42" s="25" t="s">
        <v>1040</v>
      </c>
    </row>
    <row r="43" customFormat="false" ht="81.75" hidden="false" customHeight="true" outlineLevel="0" collapsed="false">
      <c r="A43" s="25" t="s">
        <v>1041</v>
      </c>
      <c r="B43" s="25" t="s">
        <v>598</v>
      </c>
      <c r="C43" s="25" t="s">
        <v>383</v>
      </c>
      <c r="D43" s="25" t="s">
        <v>1042</v>
      </c>
      <c r="E43" s="25" t="s">
        <v>3</v>
      </c>
      <c r="F43" s="25" t="s">
        <v>1043</v>
      </c>
      <c r="G43" s="25" t="s">
        <v>385</v>
      </c>
      <c r="H43" s="25" t="s">
        <v>1038</v>
      </c>
      <c r="I43" s="25" t="s">
        <v>1044</v>
      </c>
      <c r="J43" s="25" t="s">
        <v>1045</v>
      </c>
    </row>
    <row r="44" customFormat="false" ht="81.75" hidden="false" customHeight="true" outlineLevel="0" collapsed="false">
      <c r="A44" s="25" t="s">
        <v>1046</v>
      </c>
      <c r="B44" s="25" t="s">
        <v>593</v>
      </c>
      <c r="C44" s="25" t="s">
        <v>166</v>
      </c>
      <c r="D44" s="25" t="s">
        <v>1047</v>
      </c>
      <c r="E44" s="25" t="s">
        <v>3</v>
      </c>
      <c r="F44" s="25" t="s">
        <v>1048</v>
      </c>
      <c r="G44" s="25" t="s">
        <v>168</v>
      </c>
      <c r="H44" s="25" t="s">
        <v>1038</v>
      </c>
      <c r="I44" s="25" t="s">
        <v>1049</v>
      </c>
      <c r="J44" s="25" t="s">
        <v>1050</v>
      </c>
    </row>
    <row r="45" customFormat="false" ht="55.5" hidden="false" customHeight="true" outlineLevel="0" collapsed="false">
      <c r="A45" s="25" t="s">
        <v>1051</v>
      </c>
      <c r="B45" s="25" t="s">
        <v>593</v>
      </c>
      <c r="C45" s="25" t="s">
        <v>190</v>
      </c>
      <c r="D45" s="25" t="s">
        <v>1052</v>
      </c>
      <c r="E45" s="25" t="s">
        <v>3</v>
      </c>
      <c r="F45" s="25" t="s">
        <v>1053</v>
      </c>
      <c r="G45" s="25" t="s">
        <v>192</v>
      </c>
      <c r="H45" s="25" t="s">
        <v>1038</v>
      </c>
      <c r="I45" s="25" t="s">
        <v>1054</v>
      </c>
      <c r="J45" s="25" t="s">
        <v>1055</v>
      </c>
    </row>
    <row r="46" customFormat="false" ht="81.75" hidden="false" customHeight="true" outlineLevel="0" collapsed="false">
      <c r="A46" s="25" t="s">
        <v>1056</v>
      </c>
      <c r="B46" s="25" t="s">
        <v>593</v>
      </c>
      <c r="C46" s="25" t="s">
        <v>193</v>
      </c>
      <c r="D46" s="25" t="s">
        <v>840</v>
      </c>
      <c r="E46" s="25" t="s">
        <v>3</v>
      </c>
      <c r="F46" s="25" t="s">
        <v>842</v>
      </c>
      <c r="G46" s="25" t="s">
        <v>195</v>
      </c>
      <c r="H46" s="25" t="s">
        <v>1038</v>
      </c>
      <c r="I46" s="25" t="s">
        <v>1057</v>
      </c>
      <c r="J46" s="25" t="s">
        <v>1058</v>
      </c>
    </row>
    <row r="47" customFormat="false" ht="81.75" hidden="false" customHeight="true" outlineLevel="0" collapsed="false">
      <c r="A47" s="25" t="s">
        <v>1059</v>
      </c>
      <c r="B47" s="25" t="s">
        <v>874</v>
      </c>
      <c r="C47" s="25" t="s">
        <v>492</v>
      </c>
      <c r="D47" s="25" t="s">
        <v>828</v>
      </c>
      <c r="E47" s="25" t="s">
        <v>3</v>
      </c>
      <c r="F47" s="25" t="s">
        <v>1060</v>
      </c>
      <c r="G47" s="25" t="s">
        <v>494</v>
      </c>
      <c r="H47" s="25" t="s">
        <v>1038</v>
      </c>
      <c r="I47" s="25" t="s">
        <v>1061</v>
      </c>
      <c r="J47" s="25" t="s">
        <v>1062</v>
      </c>
    </row>
    <row r="48" customFormat="false" ht="55.5" hidden="false" customHeight="true" outlineLevel="0" collapsed="false">
      <c r="A48" s="25" t="s">
        <v>1063</v>
      </c>
      <c r="B48" s="25" t="s">
        <v>874</v>
      </c>
      <c r="C48" s="25" t="s">
        <v>489</v>
      </c>
      <c r="D48" s="25" t="s">
        <v>1064</v>
      </c>
      <c r="E48" s="25" t="s">
        <v>3</v>
      </c>
      <c r="F48" s="25" t="s">
        <v>1065</v>
      </c>
      <c r="G48" s="25" t="s">
        <v>491</v>
      </c>
      <c r="H48" s="25" t="s">
        <v>1038</v>
      </c>
      <c r="I48" s="25" t="s">
        <v>1066</v>
      </c>
      <c r="J48" s="25" t="s">
        <v>1067</v>
      </c>
    </row>
    <row r="49" customFormat="false" ht="120.75" hidden="false" customHeight="true" outlineLevel="0" collapsed="false">
      <c r="A49" s="25" t="s">
        <v>1068</v>
      </c>
      <c r="B49" s="25" t="s">
        <v>874</v>
      </c>
      <c r="C49" s="25" t="s">
        <v>448</v>
      </c>
      <c r="D49" s="25" t="s">
        <v>949</v>
      </c>
      <c r="E49" s="25" t="s">
        <v>3</v>
      </c>
      <c r="F49" s="25" t="s">
        <v>1069</v>
      </c>
      <c r="G49" s="25" t="s">
        <v>1070</v>
      </c>
      <c r="H49" s="25" t="s">
        <v>1071</v>
      </c>
      <c r="I49" s="25" t="s">
        <v>1072</v>
      </c>
      <c r="J49" s="25" t="s">
        <v>1027</v>
      </c>
    </row>
    <row r="50" customFormat="false" ht="94.5" hidden="false" customHeight="true" outlineLevel="0" collapsed="false">
      <c r="A50" s="25" t="s">
        <v>1073</v>
      </c>
      <c r="B50" s="25" t="s">
        <v>874</v>
      </c>
      <c r="C50" s="25" t="s">
        <v>462</v>
      </c>
      <c r="D50" s="25" t="s">
        <v>816</v>
      </c>
      <c r="E50" s="25" t="s">
        <v>3</v>
      </c>
      <c r="F50" s="25" t="s">
        <v>1074</v>
      </c>
      <c r="G50" s="25" t="s">
        <v>464</v>
      </c>
      <c r="H50" s="25" t="s">
        <v>1075</v>
      </c>
      <c r="I50" s="25" t="s">
        <v>1076</v>
      </c>
      <c r="J50" s="25" t="s">
        <v>929</v>
      </c>
    </row>
    <row r="51" customFormat="false" ht="69" hidden="false" customHeight="true" outlineLevel="0" collapsed="false">
      <c r="A51" s="25" t="s">
        <v>1077</v>
      </c>
      <c r="B51" s="25" t="s">
        <v>874</v>
      </c>
      <c r="C51" s="25" t="s">
        <v>515</v>
      </c>
      <c r="D51" s="25" t="s">
        <v>1078</v>
      </c>
      <c r="E51" s="25" t="s">
        <v>2</v>
      </c>
      <c r="F51" s="25" t="s">
        <v>1079</v>
      </c>
      <c r="G51" s="25" t="s">
        <v>516</v>
      </c>
      <c r="H51" s="25" t="s">
        <v>1080</v>
      </c>
      <c r="I51" s="25" t="s">
        <v>1081</v>
      </c>
      <c r="J51" s="25" t="s">
        <v>1082</v>
      </c>
    </row>
    <row r="52" customFormat="false" ht="81.75" hidden="false" customHeight="true" outlineLevel="0" collapsed="false">
      <c r="A52" s="25" t="s">
        <v>1083</v>
      </c>
      <c r="B52" s="25" t="s">
        <v>874</v>
      </c>
      <c r="C52" s="25" t="s">
        <v>515</v>
      </c>
      <c r="D52" s="25" t="s">
        <v>1029</v>
      </c>
      <c r="E52" s="25" t="s">
        <v>3</v>
      </c>
      <c r="F52" s="25" t="s">
        <v>1084</v>
      </c>
      <c r="G52" s="25" t="s">
        <v>517</v>
      </c>
      <c r="H52" s="25" t="s">
        <v>1085</v>
      </c>
      <c r="I52" s="25" t="s">
        <v>1086</v>
      </c>
      <c r="J52" s="25" t="s">
        <v>1082</v>
      </c>
    </row>
    <row r="53" customFormat="false" ht="30" hidden="false" customHeight="true" outlineLevel="0" collapsed="false">
      <c r="A53" s="25" t="s">
        <v>1087</v>
      </c>
      <c r="B53" s="25" t="s">
        <v>874</v>
      </c>
      <c r="C53" s="25" t="s">
        <v>515</v>
      </c>
      <c r="D53" s="25" t="s">
        <v>1088</v>
      </c>
      <c r="E53" s="25" t="s">
        <v>4</v>
      </c>
      <c r="F53" s="25" t="s">
        <v>1089</v>
      </c>
      <c r="G53" s="25" t="s">
        <v>518</v>
      </c>
      <c r="H53" s="25" t="s">
        <v>1090</v>
      </c>
      <c r="I53" s="25" t="s">
        <v>1091</v>
      </c>
      <c r="J53" s="25" t="s">
        <v>1082</v>
      </c>
    </row>
    <row r="54" customFormat="false" ht="16.5" hidden="false" customHeight="true" outlineLevel="0" collapsed="false">
      <c r="A54" s="25" t="s">
        <v>1092</v>
      </c>
      <c r="B54" s="25" t="s">
        <v>874</v>
      </c>
      <c r="C54" s="25" t="s">
        <v>515</v>
      </c>
      <c r="D54" s="25" t="s">
        <v>1093</v>
      </c>
      <c r="E54" s="25" t="s">
        <v>5</v>
      </c>
      <c r="F54" s="25" t="s">
        <v>754</v>
      </c>
      <c r="G54" s="25" t="s">
        <v>466</v>
      </c>
      <c r="H54" s="25" t="s">
        <v>1094</v>
      </c>
      <c r="I54" s="25" t="s">
        <v>397</v>
      </c>
      <c r="J54" s="25" t="s">
        <v>1082</v>
      </c>
    </row>
    <row r="55" customFormat="false" ht="30" hidden="false" customHeight="true" outlineLevel="0" collapsed="false">
      <c r="A55" s="25" t="s">
        <v>1095</v>
      </c>
      <c r="B55" s="25" t="s">
        <v>897</v>
      </c>
      <c r="C55" s="25" t="s">
        <v>402</v>
      </c>
      <c r="D55" s="25" t="s">
        <v>1096</v>
      </c>
      <c r="E55" s="25" t="s">
        <v>660</v>
      </c>
      <c r="F55" s="25" t="s">
        <v>1097</v>
      </c>
      <c r="G55" s="25" t="s">
        <v>704</v>
      </c>
      <c r="H55" s="25" t="s">
        <v>1098</v>
      </c>
      <c r="I55" s="25" t="s">
        <v>1099</v>
      </c>
      <c r="J55" s="25" t="s">
        <v>76</v>
      </c>
    </row>
    <row r="56" customFormat="false" ht="30" hidden="false" customHeight="true" outlineLevel="0" collapsed="false">
      <c r="A56" s="25" t="s">
        <v>1100</v>
      </c>
      <c r="B56" s="25" t="s">
        <v>897</v>
      </c>
      <c r="C56" s="25" t="s">
        <v>397</v>
      </c>
      <c r="D56" s="25" t="s">
        <v>911</v>
      </c>
      <c r="E56" s="25" t="s">
        <v>660</v>
      </c>
      <c r="F56" s="25" t="s">
        <v>913</v>
      </c>
      <c r="G56" s="25" t="s">
        <v>751</v>
      </c>
      <c r="H56" s="25" t="s">
        <v>1098</v>
      </c>
      <c r="I56" s="25" t="s">
        <v>1099</v>
      </c>
      <c r="J56" s="25" t="s">
        <v>76</v>
      </c>
    </row>
    <row r="57" customFormat="false" ht="30" hidden="false" customHeight="true" outlineLevel="0" collapsed="false">
      <c r="A57" s="25" t="s">
        <v>1101</v>
      </c>
      <c r="B57" s="25" t="s">
        <v>897</v>
      </c>
      <c r="C57" s="25" t="s">
        <v>260</v>
      </c>
      <c r="D57" s="25" t="s">
        <v>1102</v>
      </c>
      <c r="E57" s="25" t="s">
        <v>660</v>
      </c>
      <c r="F57" s="25" t="s">
        <v>1103</v>
      </c>
      <c r="G57" s="25" t="s">
        <v>743</v>
      </c>
      <c r="H57" s="25" t="s">
        <v>1098</v>
      </c>
      <c r="I57" s="25" t="s">
        <v>1099</v>
      </c>
      <c r="J57" s="25" t="s">
        <v>76</v>
      </c>
    </row>
    <row r="58" customFormat="false" ht="30" hidden="false" customHeight="true" outlineLevel="0" collapsed="false">
      <c r="A58" s="25" t="s">
        <v>1104</v>
      </c>
      <c r="B58" s="25" t="s">
        <v>897</v>
      </c>
      <c r="C58" s="25" t="s">
        <v>539</v>
      </c>
      <c r="D58" s="25" t="s">
        <v>1105</v>
      </c>
      <c r="E58" s="25" t="s">
        <v>660</v>
      </c>
      <c r="F58" s="25" t="s">
        <v>1106</v>
      </c>
      <c r="G58" s="25" t="s">
        <v>774</v>
      </c>
      <c r="H58" s="25" t="s">
        <v>1098</v>
      </c>
      <c r="I58" s="25" t="s">
        <v>1099</v>
      </c>
      <c r="J58" s="25" t="s">
        <v>76</v>
      </c>
    </row>
    <row r="59" customFormat="false" ht="94.5" hidden="false" customHeight="true" outlineLevel="0" collapsed="false">
      <c r="A59" s="25" t="s">
        <v>1107</v>
      </c>
      <c r="B59" s="25" t="s">
        <v>917</v>
      </c>
      <c r="C59" s="25" t="s">
        <v>1108</v>
      </c>
      <c r="D59" s="25" t="s">
        <v>1109</v>
      </c>
      <c r="E59" s="25" t="s">
        <v>920</v>
      </c>
      <c r="F59" s="25" t="s">
        <v>921</v>
      </c>
      <c r="G59" s="25" t="s">
        <v>1110</v>
      </c>
      <c r="H59" s="25" t="s">
        <v>1111</v>
      </c>
      <c r="I59" s="25" t="s">
        <v>923</v>
      </c>
      <c r="J59" s="25" t="s">
        <v>76</v>
      </c>
    </row>
    <row r="60" customFormat="false" ht="147" hidden="false" customHeight="true" outlineLevel="0" collapsed="false">
      <c r="A60" s="25" t="s">
        <v>1112</v>
      </c>
      <c r="B60" s="25" t="s">
        <v>1113</v>
      </c>
      <c r="C60" s="25" t="s">
        <v>989</v>
      </c>
      <c r="D60" s="25" t="s">
        <v>1114</v>
      </c>
      <c r="E60" s="25" t="s">
        <v>1115</v>
      </c>
      <c r="F60" s="25" t="s">
        <v>1116</v>
      </c>
      <c r="G60" s="25" t="s">
        <v>1117</v>
      </c>
      <c r="H60" s="25" t="s">
        <v>1118</v>
      </c>
      <c r="I60" s="25" t="s">
        <v>1119</v>
      </c>
      <c r="J60" s="25" t="s">
        <v>989</v>
      </c>
    </row>
    <row r="61" customFormat="false" ht="108" hidden="false" customHeight="true" outlineLevel="0" collapsed="false">
      <c r="A61" s="25" t="s">
        <v>1120</v>
      </c>
      <c r="B61" s="25" t="s">
        <v>1113</v>
      </c>
      <c r="C61" s="25" t="s">
        <v>989</v>
      </c>
      <c r="D61" s="25" t="s">
        <v>1121</v>
      </c>
      <c r="E61" s="25" t="s">
        <v>1122</v>
      </c>
      <c r="F61" s="25" t="s">
        <v>1123</v>
      </c>
      <c r="G61" s="25" t="s">
        <v>1124</v>
      </c>
      <c r="H61" s="25" t="s">
        <v>1118</v>
      </c>
      <c r="I61" s="25" t="s">
        <v>1119</v>
      </c>
      <c r="J61" s="25" t="s">
        <v>989</v>
      </c>
    </row>
    <row r="62" customFormat="false" ht="42.75" hidden="false" customHeight="true" outlineLevel="0" collapsed="false">
      <c r="A62" s="25" t="s">
        <v>1125</v>
      </c>
      <c r="B62" s="25" t="s">
        <v>1113</v>
      </c>
      <c r="C62" s="25" t="s">
        <v>989</v>
      </c>
      <c r="D62" s="25" t="s">
        <v>1126</v>
      </c>
      <c r="E62" s="25" t="s">
        <v>1127</v>
      </c>
      <c r="F62" s="25" t="s">
        <v>1128</v>
      </c>
      <c r="G62" s="25" t="s">
        <v>1129</v>
      </c>
      <c r="H62" s="25" t="s">
        <v>1118</v>
      </c>
      <c r="I62" s="25" t="s">
        <v>1119</v>
      </c>
      <c r="J62" s="25" t="s">
        <v>989</v>
      </c>
    </row>
    <row r="63" customFormat="false" ht="159.75" hidden="false" customHeight="true" outlineLevel="0" collapsed="false">
      <c r="A63" s="25" t="s">
        <v>1130</v>
      </c>
      <c r="B63" s="25" t="s">
        <v>1113</v>
      </c>
      <c r="C63" s="25" t="s">
        <v>1082</v>
      </c>
      <c r="D63" s="25" t="s">
        <v>1131</v>
      </c>
      <c r="E63" s="25" t="s">
        <v>1115</v>
      </c>
      <c r="F63" s="25" t="s">
        <v>1132</v>
      </c>
      <c r="G63" s="25" t="s">
        <v>1133</v>
      </c>
      <c r="H63" s="25" t="s">
        <v>1134</v>
      </c>
      <c r="I63" s="25" t="s">
        <v>1135</v>
      </c>
      <c r="J63" s="25" t="s">
        <v>1082</v>
      </c>
    </row>
    <row r="64" customFormat="false" ht="108" hidden="false" customHeight="true" outlineLevel="0" collapsed="false">
      <c r="A64" s="25" t="s">
        <v>1136</v>
      </c>
      <c r="B64" s="25" t="s">
        <v>1113</v>
      </c>
      <c r="C64" s="25" t="s">
        <v>1082</v>
      </c>
      <c r="D64" s="25" t="s">
        <v>1137</v>
      </c>
      <c r="E64" s="25" t="s">
        <v>1122</v>
      </c>
      <c r="F64" s="25" t="s">
        <v>1138</v>
      </c>
      <c r="G64" s="25" t="s">
        <v>1139</v>
      </c>
      <c r="H64" s="25" t="s">
        <v>1134</v>
      </c>
      <c r="I64" s="25" t="s">
        <v>1135</v>
      </c>
      <c r="J64" s="25" t="s">
        <v>1082</v>
      </c>
    </row>
    <row r="65" customFormat="false" ht="42.75" hidden="false" customHeight="true" outlineLevel="0" collapsed="false">
      <c r="A65" s="25" t="s">
        <v>1140</v>
      </c>
      <c r="B65" s="25" t="s">
        <v>1113</v>
      </c>
      <c r="C65" s="25" t="s">
        <v>1082</v>
      </c>
      <c r="D65" s="25" t="s">
        <v>1141</v>
      </c>
      <c r="E65" s="25" t="s">
        <v>1127</v>
      </c>
      <c r="F65" s="25" t="s">
        <v>1142</v>
      </c>
      <c r="G65" s="25" t="s">
        <v>1129</v>
      </c>
      <c r="H65" s="25" t="s">
        <v>1134</v>
      </c>
      <c r="I65" s="25" t="s">
        <v>1135</v>
      </c>
      <c r="J65" s="25" t="s">
        <v>1082</v>
      </c>
    </row>
    <row r="66" customFormat="false" ht="120.75" hidden="false" customHeight="true" outlineLevel="0" collapsed="false">
      <c r="A66" s="25" t="s">
        <v>1143</v>
      </c>
      <c r="B66" s="25" t="s">
        <v>1113</v>
      </c>
      <c r="C66" s="25" t="s">
        <v>1144</v>
      </c>
      <c r="D66" s="25" t="s">
        <v>868</v>
      </c>
      <c r="E66" s="25" t="s">
        <v>1115</v>
      </c>
      <c r="F66" s="25" t="s">
        <v>1145</v>
      </c>
      <c r="G66" s="25" t="s">
        <v>1146</v>
      </c>
      <c r="H66" s="25" t="s">
        <v>1147</v>
      </c>
      <c r="I66" s="25" t="s">
        <v>1148</v>
      </c>
      <c r="J66" s="25" t="s">
        <v>1144</v>
      </c>
    </row>
    <row r="67" customFormat="false" ht="108" hidden="false" customHeight="true" outlineLevel="0" collapsed="false">
      <c r="A67" s="25" t="s">
        <v>1149</v>
      </c>
      <c r="B67" s="25" t="s">
        <v>1113</v>
      </c>
      <c r="C67" s="25" t="s">
        <v>1144</v>
      </c>
      <c r="D67" s="25" t="s">
        <v>1150</v>
      </c>
      <c r="E67" s="25" t="s">
        <v>1122</v>
      </c>
      <c r="F67" s="25" t="s">
        <v>1151</v>
      </c>
      <c r="G67" s="25" t="s">
        <v>1152</v>
      </c>
      <c r="H67" s="25" t="s">
        <v>1147</v>
      </c>
      <c r="I67" s="25" t="s">
        <v>1148</v>
      </c>
      <c r="J67" s="25" t="s">
        <v>1144</v>
      </c>
    </row>
    <row r="68" customFormat="false" ht="94.5" hidden="false" customHeight="true" outlineLevel="0" collapsed="false">
      <c r="A68" s="25" t="s">
        <v>1153</v>
      </c>
      <c r="B68" s="25" t="s">
        <v>1113</v>
      </c>
      <c r="C68" s="25" t="s">
        <v>1154</v>
      </c>
      <c r="D68" s="25" t="s">
        <v>1155</v>
      </c>
      <c r="E68" s="25" t="s">
        <v>1122</v>
      </c>
      <c r="F68" s="25" t="s">
        <v>1156</v>
      </c>
      <c r="G68" s="25" t="s">
        <v>1157</v>
      </c>
      <c r="H68" s="25" t="s">
        <v>1147</v>
      </c>
      <c r="I68" s="25" t="s">
        <v>1158</v>
      </c>
      <c r="J68" s="25" t="s">
        <v>1154</v>
      </c>
    </row>
    <row r="69" customFormat="false" ht="108" hidden="false" customHeight="true" outlineLevel="0" collapsed="false">
      <c r="A69" s="25" t="s">
        <v>1159</v>
      </c>
      <c r="B69" s="25" t="s">
        <v>1113</v>
      </c>
      <c r="C69" s="25" t="s">
        <v>1160</v>
      </c>
      <c r="D69" s="25" t="s">
        <v>1161</v>
      </c>
      <c r="E69" s="25" t="s">
        <v>1122</v>
      </c>
      <c r="F69" s="25" t="s">
        <v>1162</v>
      </c>
      <c r="G69" s="25" t="s">
        <v>1163</v>
      </c>
      <c r="H69" s="25" t="s">
        <v>1147</v>
      </c>
      <c r="I69" s="25" t="s">
        <v>1164</v>
      </c>
      <c r="J69" s="25" t="s">
        <v>1160</v>
      </c>
    </row>
    <row r="70" customFormat="false" ht="108" hidden="false" customHeight="true" outlineLevel="0" collapsed="false">
      <c r="A70" s="25" t="s">
        <v>1165</v>
      </c>
      <c r="B70" s="25" t="s">
        <v>1113</v>
      </c>
      <c r="C70" s="25" t="s">
        <v>1166</v>
      </c>
      <c r="D70" s="25" t="s">
        <v>1167</v>
      </c>
      <c r="E70" s="25" t="s">
        <v>1122</v>
      </c>
      <c r="F70" s="25" t="s">
        <v>1168</v>
      </c>
      <c r="G70" s="25" t="s">
        <v>1169</v>
      </c>
      <c r="H70" s="25" t="s">
        <v>1147</v>
      </c>
      <c r="I70" s="25" t="s">
        <v>1170</v>
      </c>
      <c r="J70" s="25" t="s">
        <v>1166</v>
      </c>
    </row>
    <row r="71" customFormat="false" ht="211.5" hidden="false" customHeight="true" outlineLevel="0" collapsed="false">
      <c r="A71" s="25" t="s">
        <v>1171</v>
      </c>
      <c r="B71" s="25" t="s">
        <v>1113</v>
      </c>
      <c r="C71" s="25" t="s">
        <v>1172</v>
      </c>
      <c r="D71" s="25" t="s">
        <v>903</v>
      </c>
      <c r="E71" s="25" t="s">
        <v>1115</v>
      </c>
      <c r="F71" s="25" t="s">
        <v>1173</v>
      </c>
      <c r="G71" s="25" t="s">
        <v>1174</v>
      </c>
      <c r="H71" s="25" t="s">
        <v>1175</v>
      </c>
      <c r="I71" s="25" t="s">
        <v>1176</v>
      </c>
      <c r="J71" s="25" t="s">
        <v>1172</v>
      </c>
    </row>
    <row r="72" customFormat="false" ht="108" hidden="false" customHeight="true" outlineLevel="0" collapsed="false">
      <c r="A72" s="25" t="s">
        <v>1177</v>
      </c>
      <c r="B72" s="25" t="s">
        <v>1113</v>
      </c>
      <c r="C72" s="25" t="s">
        <v>1172</v>
      </c>
      <c r="D72" s="25" t="s">
        <v>1178</v>
      </c>
      <c r="E72" s="25" t="s">
        <v>1122</v>
      </c>
      <c r="F72" s="25" t="s">
        <v>1179</v>
      </c>
      <c r="G72" s="25" t="s">
        <v>1180</v>
      </c>
      <c r="H72" s="25" t="s">
        <v>1175</v>
      </c>
      <c r="I72" s="25" t="s">
        <v>1176</v>
      </c>
      <c r="J72" s="25" t="s">
        <v>1172</v>
      </c>
    </row>
    <row r="73" customFormat="false" ht="30" hidden="false" customHeight="true" outlineLevel="0" collapsed="false">
      <c r="A73" s="25" t="s">
        <v>1181</v>
      </c>
      <c r="B73" s="25" t="s">
        <v>1113</v>
      </c>
      <c r="C73" s="25" t="s">
        <v>1172</v>
      </c>
      <c r="D73" s="25" t="s">
        <v>1182</v>
      </c>
      <c r="E73" s="25" t="s">
        <v>1127</v>
      </c>
      <c r="F73" s="25" t="s">
        <v>1183</v>
      </c>
      <c r="G73" s="25" t="s">
        <v>1184</v>
      </c>
      <c r="H73" s="25" t="s">
        <v>1175</v>
      </c>
      <c r="I73" s="25" t="s">
        <v>1176</v>
      </c>
      <c r="J73" s="25" t="s">
        <v>1172</v>
      </c>
    </row>
    <row r="74" customFormat="false" ht="172.5" hidden="false" customHeight="true" outlineLevel="0" collapsed="false">
      <c r="A74" s="25" t="s">
        <v>1185</v>
      </c>
      <c r="B74" s="25" t="s">
        <v>1113</v>
      </c>
      <c r="C74" s="25" t="s">
        <v>1186</v>
      </c>
      <c r="D74" s="25" t="s">
        <v>908</v>
      </c>
      <c r="E74" s="25" t="s">
        <v>1115</v>
      </c>
      <c r="F74" s="25" t="s">
        <v>1187</v>
      </c>
      <c r="G74" s="25" t="s">
        <v>1188</v>
      </c>
      <c r="H74" s="25" t="s">
        <v>1175</v>
      </c>
      <c r="I74" s="25" t="s">
        <v>1189</v>
      </c>
      <c r="J74" s="25" t="s">
        <v>1186</v>
      </c>
    </row>
    <row r="75" customFormat="false" ht="94.5" hidden="false" customHeight="true" outlineLevel="0" collapsed="false">
      <c r="A75" s="25" t="s">
        <v>1190</v>
      </c>
      <c r="B75" s="25" t="s">
        <v>1113</v>
      </c>
      <c r="C75" s="25" t="s">
        <v>1186</v>
      </c>
      <c r="D75" s="25" t="s">
        <v>1191</v>
      </c>
      <c r="E75" s="25" t="s">
        <v>1122</v>
      </c>
      <c r="F75" s="25" t="s">
        <v>1192</v>
      </c>
      <c r="G75" s="25" t="s">
        <v>1193</v>
      </c>
      <c r="H75" s="25" t="s">
        <v>1175</v>
      </c>
      <c r="I75" s="25" t="s">
        <v>1189</v>
      </c>
      <c r="J75" s="25" t="s">
        <v>1186</v>
      </c>
    </row>
    <row r="76" customFormat="false" ht="30" hidden="false" customHeight="true" outlineLevel="0" collapsed="false">
      <c r="A76" s="25" t="s">
        <v>1194</v>
      </c>
      <c r="B76" s="25" t="s">
        <v>1113</v>
      </c>
      <c r="C76" s="25" t="s">
        <v>1186</v>
      </c>
      <c r="D76" s="25" t="s">
        <v>1195</v>
      </c>
      <c r="E76" s="25" t="s">
        <v>1127</v>
      </c>
      <c r="F76" s="25" t="s">
        <v>1196</v>
      </c>
      <c r="G76" s="25" t="s">
        <v>1197</v>
      </c>
      <c r="H76" s="25" t="s">
        <v>1175</v>
      </c>
      <c r="I76" s="25" t="s">
        <v>1189</v>
      </c>
      <c r="J76" s="25" t="s">
        <v>1186</v>
      </c>
    </row>
    <row r="77" customFormat="false" ht="159.75" hidden="false" customHeight="true" outlineLevel="0" collapsed="false">
      <c r="A77" s="25" t="s">
        <v>1198</v>
      </c>
      <c r="B77" s="25" t="s">
        <v>1113</v>
      </c>
      <c r="C77" s="25" t="s">
        <v>1199</v>
      </c>
      <c r="D77" s="25" t="s">
        <v>1200</v>
      </c>
      <c r="E77" s="25" t="s">
        <v>1115</v>
      </c>
      <c r="F77" s="25" t="s">
        <v>1201</v>
      </c>
      <c r="G77" s="25" t="s">
        <v>1202</v>
      </c>
      <c r="H77" s="25" t="s">
        <v>1203</v>
      </c>
      <c r="I77" s="25" t="s">
        <v>1204</v>
      </c>
      <c r="J77" s="25" t="s">
        <v>1199</v>
      </c>
    </row>
    <row r="78" customFormat="false" ht="94.5" hidden="false" customHeight="true" outlineLevel="0" collapsed="false">
      <c r="A78" s="25" t="s">
        <v>1205</v>
      </c>
      <c r="B78" s="25" t="s">
        <v>1113</v>
      </c>
      <c r="C78" s="25" t="s">
        <v>1199</v>
      </c>
      <c r="D78" s="25" t="s">
        <v>1206</v>
      </c>
      <c r="E78" s="25" t="s">
        <v>1122</v>
      </c>
      <c r="F78" s="25" t="s">
        <v>1207</v>
      </c>
      <c r="G78" s="25" t="s">
        <v>1208</v>
      </c>
      <c r="H78" s="25" t="s">
        <v>1203</v>
      </c>
      <c r="I78" s="25" t="s">
        <v>1204</v>
      </c>
      <c r="J78" s="25" t="s">
        <v>1199</v>
      </c>
    </row>
    <row r="79" customFormat="false" ht="30" hidden="false" customHeight="true" outlineLevel="0" collapsed="false">
      <c r="A79" s="25" t="s">
        <v>1209</v>
      </c>
      <c r="B79" s="25" t="s">
        <v>1113</v>
      </c>
      <c r="C79" s="25" t="s">
        <v>1199</v>
      </c>
      <c r="D79" s="25" t="s">
        <v>1210</v>
      </c>
      <c r="E79" s="25" t="s">
        <v>1127</v>
      </c>
      <c r="F79" s="25" t="s">
        <v>1211</v>
      </c>
      <c r="G79" s="25" t="s">
        <v>1212</v>
      </c>
      <c r="H79" s="25" t="s">
        <v>1203</v>
      </c>
      <c r="I79" s="25" t="s">
        <v>1204</v>
      </c>
      <c r="J79" s="25" t="s">
        <v>1199</v>
      </c>
    </row>
    <row r="80" customFormat="false" ht="81.75" hidden="false" customHeight="true" outlineLevel="0" collapsed="false">
      <c r="A80" s="25" t="s">
        <v>1213</v>
      </c>
      <c r="B80" s="25" t="s">
        <v>1113</v>
      </c>
      <c r="C80" s="25" t="s">
        <v>1214</v>
      </c>
      <c r="D80" s="25" t="s">
        <v>1215</v>
      </c>
      <c r="E80" s="25" t="s">
        <v>1216</v>
      </c>
      <c r="F80" s="25" t="s">
        <v>921</v>
      </c>
      <c r="G80" s="25" t="s">
        <v>1217</v>
      </c>
      <c r="H80" s="25" t="s">
        <v>1218</v>
      </c>
      <c r="I80" s="25" t="s">
        <v>1219</v>
      </c>
      <c r="J80" s="25" t="s">
        <v>1214</v>
      </c>
    </row>
    <row r="81" customFormat="false" ht="81.75" hidden="false" customHeight="true" outlineLevel="0" collapsed="false">
      <c r="A81" s="25" t="s">
        <v>1220</v>
      </c>
      <c r="B81" s="25" t="s">
        <v>1113</v>
      </c>
      <c r="C81" s="25" t="s">
        <v>1221</v>
      </c>
      <c r="D81" s="25" t="s">
        <v>1222</v>
      </c>
      <c r="E81" s="25" t="s">
        <v>1216</v>
      </c>
      <c r="F81" s="25" t="s">
        <v>921</v>
      </c>
      <c r="G81" s="25" t="s">
        <v>1223</v>
      </c>
      <c r="H81" s="25" t="s">
        <v>1218</v>
      </c>
      <c r="I81" s="25" t="s">
        <v>1219</v>
      </c>
      <c r="J81" s="25" t="s">
        <v>1221</v>
      </c>
    </row>
    <row r="82" customFormat="false" ht="30" hidden="false" customHeight="true" outlineLevel="0" collapsed="false">
      <c r="A82" s="25" t="s">
        <v>1224</v>
      </c>
      <c r="B82" s="25" t="s">
        <v>1225</v>
      </c>
      <c r="C82" s="25" t="s">
        <v>253</v>
      </c>
      <c r="D82" s="25" t="s">
        <v>1226</v>
      </c>
      <c r="E82" s="25" t="s">
        <v>1227</v>
      </c>
      <c r="F82" s="25" t="s">
        <v>1228</v>
      </c>
      <c r="G82" s="25" t="s">
        <v>1229</v>
      </c>
      <c r="H82" s="25" t="s">
        <v>1230</v>
      </c>
      <c r="I82" s="25" t="s">
        <v>1113</v>
      </c>
      <c r="J82" s="25" t="s">
        <v>989</v>
      </c>
    </row>
    <row r="83" customFormat="false" ht="55.5" hidden="false" customHeight="true" outlineLevel="0" collapsed="false">
      <c r="A83" s="25" t="s">
        <v>1231</v>
      </c>
      <c r="B83" s="25" t="s">
        <v>1225</v>
      </c>
      <c r="C83" s="25" t="s">
        <v>253</v>
      </c>
      <c r="D83" s="25" t="s">
        <v>1232</v>
      </c>
      <c r="E83" s="25" t="s">
        <v>1233</v>
      </c>
      <c r="F83" s="25" t="s">
        <v>1234</v>
      </c>
      <c r="G83" s="25" t="s">
        <v>1235</v>
      </c>
      <c r="H83" s="25" t="s">
        <v>1236</v>
      </c>
      <c r="I83" s="25" t="s">
        <v>1113</v>
      </c>
      <c r="J83" s="25" t="s">
        <v>989</v>
      </c>
    </row>
    <row r="84" customFormat="false" ht="30" hidden="false" customHeight="true" outlineLevel="0" collapsed="false">
      <c r="A84" s="25" t="s">
        <v>1237</v>
      </c>
      <c r="B84" s="25" t="s">
        <v>1225</v>
      </c>
      <c r="C84" s="25" t="s">
        <v>260</v>
      </c>
      <c r="D84" s="25" t="s">
        <v>1238</v>
      </c>
      <c r="E84" s="25" t="s">
        <v>1227</v>
      </c>
      <c r="F84" s="25" t="s">
        <v>1228</v>
      </c>
      <c r="G84" s="25" t="s">
        <v>1229</v>
      </c>
      <c r="H84" s="25" t="s">
        <v>1230</v>
      </c>
      <c r="I84" s="25" t="s">
        <v>1113</v>
      </c>
      <c r="J84" s="25" t="s">
        <v>989</v>
      </c>
    </row>
    <row r="85" customFormat="false" ht="30" hidden="false" customHeight="true" outlineLevel="0" collapsed="false">
      <c r="A85" s="25" t="s">
        <v>1239</v>
      </c>
      <c r="B85" s="25" t="s">
        <v>1225</v>
      </c>
      <c r="C85" s="25" t="s">
        <v>260</v>
      </c>
      <c r="D85" s="25" t="s">
        <v>1240</v>
      </c>
      <c r="E85" s="25" t="s">
        <v>1233</v>
      </c>
      <c r="F85" s="25" t="s">
        <v>1241</v>
      </c>
      <c r="G85" s="25" t="s">
        <v>1235</v>
      </c>
      <c r="H85" s="25" t="s">
        <v>1236</v>
      </c>
      <c r="I85" s="25" t="s">
        <v>1113</v>
      </c>
      <c r="J85" s="25" t="s">
        <v>989</v>
      </c>
    </row>
    <row r="86" customFormat="false" ht="30" hidden="false" customHeight="true" outlineLevel="0" collapsed="false">
      <c r="A86" s="25" t="s">
        <v>1242</v>
      </c>
      <c r="B86" s="25" t="s">
        <v>1225</v>
      </c>
      <c r="C86" s="25" t="s">
        <v>412</v>
      </c>
      <c r="D86" s="25" t="s">
        <v>1243</v>
      </c>
      <c r="E86" s="25" t="s">
        <v>1227</v>
      </c>
      <c r="F86" s="25" t="s">
        <v>1228</v>
      </c>
      <c r="G86" s="25" t="s">
        <v>1229</v>
      </c>
      <c r="H86" s="25" t="s">
        <v>1230</v>
      </c>
      <c r="I86" s="25" t="s">
        <v>1113</v>
      </c>
      <c r="J86" s="25" t="s">
        <v>1082</v>
      </c>
    </row>
    <row r="87" customFormat="false" ht="30" hidden="false" customHeight="true" outlineLevel="0" collapsed="false">
      <c r="A87" s="25" t="s">
        <v>1244</v>
      </c>
      <c r="B87" s="25" t="s">
        <v>1225</v>
      </c>
      <c r="C87" s="25" t="s">
        <v>412</v>
      </c>
      <c r="D87" s="25" t="s">
        <v>1245</v>
      </c>
      <c r="E87" s="25" t="s">
        <v>1233</v>
      </c>
      <c r="F87" s="25" t="s">
        <v>1246</v>
      </c>
      <c r="G87" s="25" t="s">
        <v>1247</v>
      </c>
      <c r="H87" s="25" t="s">
        <v>1236</v>
      </c>
      <c r="I87" s="25" t="s">
        <v>1113</v>
      </c>
      <c r="J87" s="25" t="s">
        <v>1082</v>
      </c>
    </row>
    <row r="88" customFormat="false" ht="30" hidden="false" customHeight="true" outlineLevel="0" collapsed="false">
      <c r="A88" s="25" t="s">
        <v>1248</v>
      </c>
      <c r="B88" s="25" t="s">
        <v>1225</v>
      </c>
      <c r="C88" s="25" t="s">
        <v>754</v>
      </c>
      <c r="D88" s="25" t="s">
        <v>1249</v>
      </c>
      <c r="E88" s="25" t="s">
        <v>1227</v>
      </c>
      <c r="F88" s="25" t="s">
        <v>1228</v>
      </c>
      <c r="G88" s="25" t="s">
        <v>1229</v>
      </c>
      <c r="H88" s="25" t="s">
        <v>1230</v>
      </c>
      <c r="I88" s="25" t="s">
        <v>1113</v>
      </c>
      <c r="J88" s="25" t="s">
        <v>1082</v>
      </c>
    </row>
    <row r="89" customFormat="false" ht="30" hidden="false" customHeight="true" outlineLevel="0" collapsed="false">
      <c r="A89" s="25" t="s">
        <v>1250</v>
      </c>
      <c r="B89" s="25" t="s">
        <v>1225</v>
      </c>
      <c r="C89" s="25" t="s">
        <v>754</v>
      </c>
      <c r="D89" s="25" t="s">
        <v>1251</v>
      </c>
      <c r="E89" s="25" t="s">
        <v>1233</v>
      </c>
      <c r="F89" s="25" t="s">
        <v>1252</v>
      </c>
      <c r="G89" s="25" t="s">
        <v>1247</v>
      </c>
      <c r="H89" s="25" t="s">
        <v>1236</v>
      </c>
      <c r="I89" s="25" t="s">
        <v>1113</v>
      </c>
      <c r="J89" s="25" t="s">
        <v>1082</v>
      </c>
    </row>
    <row r="90" customFormat="false" ht="30" hidden="false" customHeight="true" outlineLevel="0" collapsed="false">
      <c r="A90" s="25" t="s">
        <v>1253</v>
      </c>
      <c r="B90" s="25" t="s">
        <v>1225</v>
      </c>
      <c r="C90" s="25" t="s">
        <v>147</v>
      </c>
      <c r="D90" s="25" t="s">
        <v>1254</v>
      </c>
      <c r="E90" s="25" t="s">
        <v>1233</v>
      </c>
      <c r="F90" s="25" t="s">
        <v>1255</v>
      </c>
      <c r="G90" s="25" t="s">
        <v>1256</v>
      </c>
      <c r="H90" s="25" t="s">
        <v>1257</v>
      </c>
      <c r="I90" s="25" t="s">
        <v>1113</v>
      </c>
      <c r="J90" s="25" t="s">
        <v>1144</v>
      </c>
    </row>
    <row r="91" customFormat="false" ht="30" hidden="false" customHeight="true" outlineLevel="0" collapsed="false">
      <c r="A91" s="25" t="s">
        <v>1258</v>
      </c>
      <c r="B91" s="25" t="s">
        <v>1225</v>
      </c>
      <c r="C91" s="25" t="s">
        <v>103</v>
      </c>
      <c r="D91" s="25" t="s">
        <v>1259</v>
      </c>
      <c r="E91" s="25" t="s">
        <v>1233</v>
      </c>
      <c r="F91" s="25" t="s">
        <v>1255</v>
      </c>
      <c r="G91" s="25" t="s">
        <v>1256</v>
      </c>
      <c r="H91" s="25" t="s">
        <v>1257</v>
      </c>
      <c r="I91" s="25" t="s">
        <v>1113</v>
      </c>
      <c r="J91" s="25" t="s">
        <v>1144</v>
      </c>
    </row>
    <row r="92" customFormat="false" ht="30" hidden="false" customHeight="true" outlineLevel="0" collapsed="false">
      <c r="A92" s="25" t="s">
        <v>1260</v>
      </c>
      <c r="B92" s="25" t="s">
        <v>1225</v>
      </c>
      <c r="C92" s="25" t="s">
        <v>337</v>
      </c>
      <c r="D92" s="25" t="s">
        <v>1261</v>
      </c>
      <c r="E92" s="25" t="s">
        <v>1233</v>
      </c>
      <c r="F92" s="25" t="s">
        <v>1255</v>
      </c>
      <c r="G92" s="25" t="s">
        <v>1256</v>
      </c>
      <c r="H92" s="25" t="s">
        <v>1257</v>
      </c>
      <c r="I92" s="25" t="s">
        <v>1113</v>
      </c>
      <c r="J92" s="25" t="s">
        <v>1144</v>
      </c>
    </row>
    <row r="93" customFormat="false" ht="30" hidden="false" customHeight="true" outlineLevel="0" collapsed="false">
      <c r="A93" s="25" t="s">
        <v>1262</v>
      </c>
      <c r="B93" s="25" t="s">
        <v>1225</v>
      </c>
      <c r="C93" s="25" t="s">
        <v>475</v>
      </c>
      <c r="D93" s="25" t="s">
        <v>1263</v>
      </c>
      <c r="E93" s="25" t="s">
        <v>1233</v>
      </c>
      <c r="F93" s="25" t="s">
        <v>1255</v>
      </c>
      <c r="G93" s="25" t="s">
        <v>1256</v>
      </c>
      <c r="H93" s="25" t="s">
        <v>1257</v>
      </c>
      <c r="I93" s="25" t="s">
        <v>1113</v>
      </c>
      <c r="J93" s="25" t="s">
        <v>1144</v>
      </c>
    </row>
    <row r="94" customFormat="false" ht="30" hidden="false" customHeight="true" outlineLevel="0" collapsed="false">
      <c r="A94" s="25" t="s">
        <v>1264</v>
      </c>
      <c r="B94" s="25" t="s">
        <v>1225</v>
      </c>
      <c r="C94" s="25" t="s">
        <v>437</v>
      </c>
      <c r="D94" s="25" t="s">
        <v>1265</v>
      </c>
      <c r="E94" s="25" t="s">
        <v>1233</v>
      </c>
      <c r="F94" s="25" t="s">
        <v>1266</v>
      </c>
      <c r="G94" s="25" t="s">
        <v>1256</v>
      </c>
      <c r="H94" s="25" t="s">
        <v>1257</v>
      </c>
      <c r="I94" s="25" t="s">
        <v>1113</v>
      </c>
      <c r="J94" s="25" t="s">
        <v>1144</v>
      </c>
    </row>
    <row r="95" customFormat="false" ht="42.75" hidden="false" customHeight="true" outlineLevel="0" collapsed="false">
      <c r="A95" s="25" t="s">
        <v>1267</v>
      </c>
      <c r="B95" s="25" t="s">
        <v>1225</v>
      </c>
      <c r="C95" s="25" t="s">
        <v>678</v>
      </c>
      <c r="D95" s="25" t="s">
        <v>1268</v>
      </c>
      <c r="E95" s="25" t="s">
        <v>1233</v>
      </c>
      <c r="F95" s="25" t="s">
        <v>1269</v>
      </c>
      <c r="G95" s="25" t="s">
        <v>1270</v>
      </c>
      <c r="H95" s="25" t="s">
        <v>1257</v>
      </c>
      <c r="I95" s="25" t="s">
        <v>1113</v>
      </c>
      <c r="J95" s="25" t="s">
        <v>1166</v>
      </c>
    </row>
    <row r="96" customFormat="false" ht="30" hidden="false" customHeight="true" outlineLevel="0" collapsed="false">
      <c r="A96" s="25" t="s">
        <v>1271</v>
      </c>
      <c r="B96" s="25" t="s">
        <v>1225</v>
      </c>
      <c r="C96" s="25" t="s">
        <v>730</v>
      </c>
      <c r="D96" s="25" t="s">
        <v>1272</v>
      </c>
      <c r="E96" s="25" t="s">
        <v>1233</v>
      </c>
      <c r="F96" s="25" t="s">
        <v>1273</v>
      </c>
      <c r="G96" s="25" t="s">
        <v>1270</v>
      </c>
      <c r="H96" s="25" t="s">
        <v>1257</v>
      </c>
      <c r="I96" s="25" t="s">
        <v>1113</v>
      </c>
      <c r="J96" s="25" t="s">
        <v>1166</v>
      </c>
    </row>
    <row r="97" customFormat="false" ht="30" hidden="false" customHeight="true" outlineLevel="0" collapsed="false">
      <c r="A97" s="25" t="s">
        <v>1274</v>
      </c>
      <c r="B97" s="25" t="s">
        <v>1225</v>
      </c>
      <c r="C97" s="25" t="s">
        <v>681</v>
      </c>
      <c r="D97" s="25" t="s">
        <v>1275</v>
      </c>
      <c r="E97" s="25" t="s">
        <v>1233</v>
      </c>
      <c r="F97" s="25" t="s">
        <v>1276</v>
      </c>
      <c r="G97" s="25" t="s">
        <v>1277</v>
      </c>
      <c r="H97" s="25" t="s">
        <v>1257</v>
      </c>
      <c r="I97" s="25" t="s">
        <v>1113</v>
      </c>
      <c r="J97" s="25" t="s">
        <v>1160</v>
      </c>
    </row>
    <row r="98" customFormat="false" ht="30" hidden="false" customHeight="true" outlineLevel="0" collapsed="false">
      <c r="A98" s="25" t="s">
        <v>1278</v>
      </c>
      <c r="B98" s="25" t="s">
        <v>1225</v>
      </c>
      <c r="C98" s="25" t="s">
        <v>715</v>
      </c>
      <c r="D98" s="25" t="s">
        <v>1279</v>
      </c>
      <c r="E98" s="25" t="s">
        <v>1233</v>
      </c>
      <c r="F98" s="25" t="s">
        <v>1280</v>
      </c>
      <c r="G98" s="25" t="s">
        <v>1277</v>
      </c>
      <c r="H98" s="25" t="s">
        <v>1257</v>
      </c>
      <c r="I98" s="25" t="s">
        <v>1113</v>
      </c>
      <c r="J98" s="25" t="s">
        <v>1160</v>
      </c>
    </row>
    <row r="99" customFormat="false" ht="30" hidden="false" customHeight="true" outlineLevel="0" collapsed="false">
      <c r="A99" s="25" t="s">
        <v>1281</v>
      </c>
      <c r="B99" s="25" t="s">
        <v>1225</v>
      </c>
      <c r="C99" s="25" t="s">
        <v>732</v>
      </c>
      <c r="D99" s="25" t="s">
        <v>1282</v>
      </c>
      <c r="E99" s="25" t="s">
        <v>1233</v>
      </c>
      <c r="F99" s="25" t="s">
        <v>1280</v>
      </c>
      <c r="G99" s="25" t="s">
        <v>1277</v>
      </c>
      <c r="H99" s="25" t="s">
        <v>1257</v>
      </c>
      <c r="I99" s="25" t="s">
        <v>1113</v>
      </c>
      <c r="J99" s="25" t="s">
        <v>1160</v>
      </c>
    </row>
    <row r="100" customFormat="false" ht="30" hidden="false" customHeight="true" outlineLevel="0" collapsed="false">
      <c r="A100" s="25" t="s">
        <v>1283</v>
      </c>
      <c r="B100" s="25" t="s">
        <v>1225</v>
      </c>
      <c r="C100" s="25" t="s">
        <v>757</v>
      </c>
      <c r="D100" s="25" t="s">
        <v>1284</v>
      </c>
      <c r="E100" s="25" t="s">
        <v>1233</v>
      </c>
      <c r="F100" s="25" t="s">
        <v>1280</v>
      </c>
      <c r="G100" s="25" t="s">
        <v>1277</v>
      </c>
      <c r="H100" s="25" t="s">
        <v>1257</v>
      </c>
      <c r="I100" s="25" t="s">
        <v>1113</v>
      </c>
      <c r="J100" s="25" t="s">
        <v>1160</v>
      </c>
    </row>
    <row r="101" customFormat="false" ht="30" hidden="false" customHeight="true" outlineLevel="0" collapsed="false">
      <c r="A101" s="25" t="s">
        <v>1285</v>
      </c>
      <c r="B101" s="25" t="s">
        <v>1225</v>
      </c>
      <c r="C101" s="25" t="s">
        <v>127</v>
      </c>
      <c r="D101" s="25" t="s">
        <v>1286</v>
      </c>
      <c r="E101" s="25" t="s">
        <v>1233</v>
      </c>
      <c r="F101" s="25" t="s">
        <v>1287</v>
      </c>
      <c r="G101" s="25" t="s">
        <v>1277</v>
      </c>
      <c r="H101" s="25" t="s">
        <v>1257</v>
      </c>
      <c r="I101" s="25" t="s">
        <v>1113</v>
      </c>
      <c r="J101" s="25" t="s">
        <v>1160</v>
      </c>
    </row>
    <row r="102" customFormat="false" ht="30" hidden="false" customHeight="true" outlineLevel="0" collapsed="false">
      <c r="A102" s="25" t="s">
        <v>1288</v>
      </c>
      <c r="B102" s="25" t="s">
        <v>1225</v>
      </c>
      <c r="C102" s="25" t="s">
        <v>700</v>
      </c>
      <c r="D102" s="25" t="s">
        <v>1289</v>
      </c>
      <c r="E102" s="25" t="s">
        <v>1233</v>
      </c>
      <c r="F102" s="25" t="s">
        <v>1290</v>
      </c>
      <c r="G102" s="25" t="s">
        <v>1291</v>
      </c>
      <c r="H102" s="25" t="s">
        <v>1257</v>
      </c>
      <c r="I102" s="25" t="s">
        <v>1113</v>
      </c>
      <c r="J102" s="25" t="s">
        <v>1154</v>
      </c>
    </row>
    <row r="103" customFormat="false" ht="94.5" hidden="false" customHeight="true" outlineLevel="0" collapsed="false">
      <c r="A103" s="25" t="s">
        <v>1292</v>
      </c>
      <c r="B103" s="25" t="s">
        <v>917</v>
      </c>
      <c r="C103" s="25" t="s">
        <v>1293</v>
      </c>
      <c r="D103" s="25" t="s">
        <v>1294</v>
      </c>
      <c r="E103" s="25" t="s">
        <v>920</v>
      </c>
      <c r="F103" s="25" t="s">
        <v>921</v>
      </c>
      <c r="G103" s="25" t="s">
        <v>794</v>
      </c>
      <c r="H103" s="25" t="s">
        <v>1295</v>
      </c>
      <c r="I103" s="25" t="s">
        <v>923</v>
      </c>
      <c r="J103" s="25" t="s">
        <v>76</v>
      </c>
    </row>
    <row r="104" customFormat="false" ht="55.5" hidden="false" customHeight="true" outlineLevel="0" collapsed="false">
      <c r="A104" s="25" t="s">
        <v>1296</v>
      </c>
      <c r="B104" s="25" t="s">
        <v>593</v>
      </c>
      <c r="C104" s="25" t="s">
        <v>186</v>
      </c>
      <c r="D104" s="25" t="s">
        <v>1297</v>
      </c>
      <c r="E104" s="25" t="s">
        <v>4</v>
      </c>
      <c r="F104" s="25" t="s">
        <v>668</v>
      </c>
      <c r="G104" s="25" t="s">
        <v>48</v>
      </c>
      <c r="H104" s="25" t="s">
        <v>1298</v>
      </c>
      <c r="I104" s="25" t="s">
        <v>1299</v>
      </c>
      <c r="J104" s="25" t="s">
        <v>1300</v>
      </c>
    </row>
    <row r="105" customFormat="false" ht="147" hidden="false" customHeight="true" outlineLevel="0" collapsed="false">
      <c r="A105" s="25" t="s">
        <v>1301</v>
      </c>
      <c r="B105" s="25" t="s">
        <v>874</v>
      </c>
      <c r="C105" s="25" t="s">
        <v>448</v>
      </c>
      <c r="D105" s="25" t="s">
        <v>949</v>
      </c>
      <c r="E105" s="25" t="s">
        <v>3</v>
      </c>
      <c r="F105" s="25" t="s">
        <v>1070</v>
      </c>
      <c r="G105" s="25" t="s">
        <v>450</v>
      </c>
      <c r="H105" s="25" t="s">
        <v>1302</v>
      </c>
      <c r="I105" s="25" t="s">
        <v>1303</v>
      </c>
      <c r="J105" s="25" t="s">
        <v>1304</v>
      </c>
    </row>
    <row r="106" customFormat="false" ht="30" hidden="false" customHeight="true" outlineLevel="0" collapsed="false">
      <c r="A106" s="25" t="s">
        <v>1305</v>
      </c>
      <c r="B106" s="25" t="s">
        <v>897</v>
      </c>
      <c r="C106" s="25" t="s">
        <v>308</v>
      </c>
      <c r="D106" s="25" t="s">
        <v>1306</v>
      </c>
      <c r="E106" s="25" t="s">
        <v>660</v>
      </c>
      <c r="F106" s="25" t="s">
        <v>1307</v>
      </c>
      <c r="G106" s="25" t="s">
        <v>699</v>
      </c>
      <c r="H106" s="25" t="s">
        <v>1308</v>
      </c>
      <c r="I106" s="25" t="s">
        <v>1099</v>
      </c>
      <c r="J106" s="25" t="s">
        <v>1300</v>
      </c>
    </row>
    <row r="107" customFormat="false" ht="30" hidden="false" customHeight="true" outlineLevel="0" collapsed="false">
      <c r="A107" s="25" t="s">
        <v>1309</v>
      </c>
      <c r="B107" s="25" t="s">
        <v>1225</v>
      </c>
      <c r="C107" s="25" t="s">
        <v>308</v>
      </c>
      <c r="D107" s="25" t="s">
        <v>1310</v>
      </c>
      <c r="E107" s="25" t="s">
        <v>1311</v>
      </c>
      <c r="F107" s="25" t="s">
        <v>1307</v>
      </c>
      <c r="G107" s="25" t="s">
        <v>699</v>
      </c>
      <c r="H107" s="25" t="s">
        <v>1312</v>
      </c>
      <c r="I107" s="25" t="s">
        <v>1313</v>
      </c>
      <c r="J107" s="25" t="s">
        <v>1300</v>
      </c>
    </row>
    <row r="108" customFormat="false" ht="16.5" hidden="false" customHeight="true" outlineLevel="0" collapsed="false">
      <c r="A108" s="25" t="s">
        <v>1314</v>
      </c>
      <c r="B108" s="25" t="s">
        <v>1225</v>
      </c>
      <c r="C108" s="25" t="s">
        <v>308</v>
      </c>
      <c r="D108" s="25" t="s">
        <v>1315</v>
      </c>
      <c r="E108" s="25" t="s">
        <v>1316</v>
      </c>
      <c r="F108" s="25" t="n">
        <v>6</v>
      </c>
      <c r="G108" s="25" t="n">
        <v>7</v>
      </c>
      <c r="H108" s="25" t="s">
        <v>1312</v>
      </c>
      <c r="I108" s="25" t="s">
        <v>1313</v>
      </c>
      <c r="J108" s="25" t="s">
        <v>1300</v>
      </c>
    </row>
    <row r="109" customFormat="false" ht="55.5" hidden="false" customHeight="true" outlineLevel="0" collapsed="false">
      <c r="A109" s="25" t="s">
        <v>1317</v>
      </c>
      <c r="B109" s="25" t="s">
        <v>1225</v>
      </c>
      <c r="C109" s="25" t="s">
        <v>308</v>
      </c>
      <c r="D109" s="25" t="s">
        <v>1318</v>
      </c>
      <c r="E109" s="25" t="s">
        <v>1319</v>
      </c>
      <c r="F109" s="25" t="s">
        <v>1320</v>
      </c>
      <c r="G109" s="25" t="s">
        <v>1321</v>
      </c>
      <c r="H109" s="25" t="s">
        <v>1322</v>
      </c>
      <c r="I109" s="25" t="s">
        <v>1113</v>
      </c>
      <c r="J109" s="25" t="s">
        <v>1323</v>
      </c>
    </row>
    <row r="110" customFormat="false" ht="30" hidden="false" customHeight="true" outlineLevel="0" collapsed="false">
      <c r="A110" s="25" t="s">
        <v>1324</v>
      </c>
      <c r="B110" s="25" t="s">
        <v>1225</v>
      </c>
      <c r="C110" s="25" t="s">
        <v>49</v>
      </c>
      <c r="D110" s="25" t="s">
        <v>1325</v>
      </c>
      <c r="E110" s="25" t="s">
        <v>1319</v>
      </c>
      <c r="F110" s="25" t="s">
        <v>1326</v>
      </c>
      <c r="G110" s="25" t="s">
        <v>1327</v>
      </c>
      <c r="H110" s="25" t="s">
        <v>1322</v>
      </c>
      <c r="I110" s="25" t="s">
        <v>1113</v>
      </c>
      <c r="J110" s="25" t="s">
        <v>1300</v>
      </c>
    </row>
    <row r="111" customFormat="false" ht="69" hidden="false" customHeight="true" outlineLevel="0" collapsed="false">
      <c r="A111" s="25" t="s">
        <v>1328</v>
      </c>
      <c r="B111" s="25" t="s">
        <v>1225</v>
      </c>
      <c r="C111" s="25" t="s">
        <v>451</v>
      </c>
      <c r="D111" s="25" t="s">
        <v>1329</v>
      </c>
      <c r="E111" s="25" t="s">
        <v>1319</v>
      </c>
      <c r="F111" s="25" t="s">
        <v>1330</v>
      </c>
      <c r="G111" s="25" t="s">
        <v>1331</v>
      </c>
      <c r="H111" s="25" t="s">
        <v>1322</v>
      </c>
      <c r="I111" s="25" t="s">
        <v>1113</v>
      </c>
      <c r="J111" s="25" t="s">
        <v>1304</v>
      </c>
    </row>
    <row r="112" customFormat="false" ht="42.75" hidden="false" customHeight="true" outlineLevel="0" collapsed="false">
      <c r="A112" s="25" t="s">
        <v>1332</v>
      </c>
      <c r="B112" s="25" t="s">
        <v>1225</v>
      </c>
      <c r="C112" s="25" t="s">
        <v>304</v>
      </c>
      <c r="D112" s="25" t="s">
        <v>1333</v>
      </c>
      <c r="E112" s="25" t="s">
        <v>1319</v>
      </c>
      <c r="F112" s="25" t="s">
        <v>1334</v>
      </c>
      <c r="G112" s="25" t="s">
        <v>1335</v>
      </c>
      <c r="H112" s="25" t="s">
        <v>1322</v>
      </c>
      <c r="I112" s="25" t="s">
        <v>1113</v>
      </c>
      <c r="J112" s="25" t="s">
        <v>1199</v>
      </c>
    </row>
    <row r="113" customFormat="false" ht="94.5" hidden="false" customHeight="true" outlineLevel="0" collapsed="false">
      <c r="A113" s="25" t="s">
        <v>1336</v>
      </c>
      <c r="B113" s="25" t="s">
        <v>1225</v>
      </c>
      <c r="C113" s="25" t="s">
        <v>253</v>
      </c>
      <c r="D113" s="25" t="s">
        <v>1337</v>
      </c>
      <c r="E113" s="25" t="s">
        <v>1319</v>
      </c>
      <c r="F113" s="25" t="s">
        <v>1338</v>
      </c>
      <c r="G113" s="25" t="s">
        <v>1339</v>
      </c>
      <c r="H113" s="25" t="s">
        <v>1322</v>
      </c>
      <c r="I113" s="25" t="s">
        <v>1113</v>
      </c>
      <c r="J113" s="25" t="s">
        <v>1340</v>
      </c>
    </row>
    <row r="114" customFormat="false" ht="55.5" hidden="false" customHeight="true" outlineLevel="0" collapsed="false">
      <c r="A114" s="25" t="s">
        <v>1341</v>
      </c>
      <c r="B114" s="25" t="s">
        <v>1225</v>
      </c>
      <c r="C114" s="25" t="s">
        <v>270</v>
      </c>
      <c r="D114" s="25" t="s">
        <v>1342</v>
      </c>
      <c r="E114" s="25" t="s">
        <v>1319</v>
      </c>
      <c r="F114" s="25" t="s">
        <v>1343</v>
      </c>
      <c r="G114" s="25" t="s">
        <v>1344</v>
      </c>
      <c r="H114" s="25" t="s">
        <v>1322</v>
      </c>
      <c r="I114" s="25" t="s">
        <v>1113</v>
      </c>
      <c r="J114" s="25" t="s">
        <v>1172</v>
      </c>
    </row>
    <row r="115" customFormat="false" ht="42.75" hidden="false" customHeight="true" outlineLevel="0" collapsed="false">
      <c r="A115" s="25" t="s">
        <v>1345</v>
      </c>
      <c r="B115" s="25" t="s">
        <v>1225</v>
      </c>
      <c r="C115" s="25" t="s">
        <v>402</v>
      </c>
      <c r="D115" s="25" t="s">
        <v>1346</v>
      </c>
      <c r="E115" s="25" t="s">
        <v>1319</v>
      </c>
      <c r="F115" s="25" t="s">
        <v>1347</v>
      </c>
      <c r="G115" s="25" t="s">
        <v>1348</v>
      </c>
      <c r="H115" s="25" t="s">
        <v>1322</v>
      </c>
      <c r="I115" s="25" t="s">
        <v>1113</v>
      </c>
      <c r="J115" s="25" t="s">
        <v>1172</v>
      </c>
    </row>
    <row r="116" customFormat="false" ht="42.75" hidden="false" customHeight="true" outlineLevel="0" collapsed="false">
      <c r="A116" s="25" t="s">
        <v>1349</v>
      </c>
      <c r="B116" s="25" t="s">
        <v>1225</v>
      </c>
      <c r="C116" s="25" t="s">
        <v>683</v>
      </c>
      <c r="D116" s="25" t="s">
        <v>1350</v>
      </c>
      <c r="E116" s="25" t="s">
        <v>1319</v>
      </c>
      <c r="F116" s="25" t="s">
        <v>1351</v>
      </c>
      <c r="G116" s="25" t="s">
        <v>1352</v>
      </c>
      <c r="H116" s="25" t="s">
        <v>1322</v>
      </c>
      <c r="I116" s="25" t="s">
        <v>1113</v>
      </c>
      <c r="J116" s="25" t="s">
        <v>1221</v>
      </c>
    </row>
    <row r="117" customFormat="false" ht="30" hidden="false" customHeight="true" outlineLevel="0" collapsed="false">
      <c r="A117" s="25" t="s">
        <v>1353</v>
      </c>
      <c r="B117" s="25" t="s">
        <v>1225</v>
      </c>
      <c r="C117" s="25" t="s">
        <v>701</v>
      </c>
      <c r="D117" s="25" t="s">
        <v>1354</v>
      </c>
      <c r="E117" s="25" t="s">
        <v>1319</v>
      </c>
      <c r="F117" s="25" t="s">
        <v>1355</v>
      </c>
      <c r="G117" s="25" t="s">
        <v>1356</v>
      </c>
      <c r="H117" s="25" t="s">
        <v>1322</v>
      </c>
      <c r="I117" s="25" t="s">
        <v>1113</v>
      </c>
      <c r="J117" s="25" t="s">
        <v>1221</v>
      </c>
    </row>
    <row r="118" customFormat="false" ht="42.75" hidden="false" customHeight="true" outlineLevel="0" collapsed="false">
      <c r="A118" s="25" t="s">
        <v>1357</v>
      </c>
      <c r="B118" s="25" t="s">
        <v>1225</v>
      </c>
      <c r="C118" s="25" t="s">
        <v>717</v>
      </c>
      <c r="D118" s="25" t="s">
        <v>1358</v>
      </c>
      <c r="E118" s="25" t="s">
        <v>1319</v>
      </c>
      <c r="F118" s="25" t="s">
        <v>1359</v>
      </c>
      <c r="G118" s="25" t="s">
        <v>1360</v>
      </c>
      <c r="H118" s="25" t="s">
        <v>1322</v>
      </c>
      <c r="I118" s="25" t="s">
        <v>1113</v>
      </c>
      <c r="J118" s="25" t="s">
        <v>1221</v>
      </c>
    </row>
    <row r="119" customFormat="false" ht="30" hidden="false" customHeight="true" outlineLevel="0" collapsed="false">
      <c r="A119" s="25" t="s">
        <v>1361</v>
      </c>
      <c r="B119" s="25" t="s">
        <v>1225</v>
      </c>
      <c r="C119" s="25" t="s">
        <v>746</v>
      </c>
      <c r="D119" s="25" t="s">
        <v>1362</v>
      </c>
      <c r="E119" s="25" t="s">
        <v>1319</v>
      </c>
      <c r="F119" s="25" t="s">
        <v>1355</v>
      </c>
      <c r="G119" s="25" t="s">
        <v>1356</v>
      </c>
      <c r="H119" s="25" t="s">
        <v>1322</v>
      </c>
      <c r="I119" s="25" t="s">
        <v>1113</v>
      </c>
      <c r="J119" s="25" t="s">
        <v>1221</v>
      </c>
    </row>
    <row r="120" customFormat="false" ht="42.75" hidden="false" customHeight="true" outlineLevel="0" collapsed="false">
      <c r="A120" s="25" t="s">
        <v>1363</v>
      </c>
      <c r="B120" s="25" t="s">
        <v>1225</v>
      </c>
      <c r="C120" s="25" t="s">
        <v>756</v>
      </c>
      <c r="D120" s="25" t="s">
        <v>1364</v>
      </c>
      <c r="E120" s="25" t="s">
        <v>1319</v>
      </c>
      <c r="F120" s="25" t="s">
        <v>1365</v>
      </c>
      <c r="G120" s="25" t="s">
        <v>1366</v>
      </c>
      <c r="H120" s="25" t="s">
        <v>1322</v>
      </c>
      <c r="I120" s="25" t="s">
        <v>1113</v>
      </c>
      <c r="J120" s="25" t="s">
        <v>1221</v>
      </c>
    </row>
    <row r="121" customFormat="false" ht="69" hidden="false" customHeight="true" outlineLevel="0" collapsed="false">
      <c r="A121" s="25" t="s">
        <v>1367</v>
      </c>
      <c r="B121" s="25" t="s">
        <v>1225</v>
      </c>
      <c r="C121" s="25" t="s">
        <v>32</v>
      </c>
      <c r="D121" s="25" t="s">
        <v>1368</v>
      </c>
      <c r="E121" s="25" t="s">
        <v>1319</v>
      </c>
      <c r="F121" s="25" t="s">
        <v>1369</v>
      </c>
      <c r="G121" s="25" t="s">
        <v>1370</v>
      </c>
      <c r="H121" s="25" t="s">
        <v>1322</v>
      </c>
      <c r="I121" s="25" t="s">
        <v>1113</v>
      </c>
      <c r="J121" s="25" t="s">
        <v>1214</v>
      </c>
    </row>
    <row r="122" customFormat="false" ht="42.75" hidden="false" customHeight="true" outlineLevel="0" collapsed="false">
      <c r="A122" s="25" t="s">
        <v>1371</v>
      </c>
      <c r="B122" s="25" t="s">
        <v>1113</v>
      </c>
      <c r="C122" s="25" t="s">
        <v>1372</v>
      </c>
      <c r="D122" s="25" t="s">
        <v>1226</v>
      </c>
      <c r="E122" s="25" t="s">
        <v>1127</v>
      </c>
      <c r="F122" s="25" t="s">
        <v>1373</v>
      </c>
      <c r="G122" s="25" t="s">
        <v>1374</v>
      </c>
      <c r="H122" s="25" t="s">
        <v>1375</v>
      </c>
      <c r="I122" s="25" t="s">
        <v>1376</v>
      </c>
      <c r="J122" s="25" t="s">
        <v>1372</v>
      </c>
    </row>
    <row r="123" customFormat="false" ht="250.5" hidden="false" customHeight="true" outlineLevel="0" collapsed="false">
      <c r="A123" s="25" t="s">
        <v>1377</v>
      </c>
      <c r="B123" s="25" t="s">
        <v>1113</v>
      </c>
      <c r="C123" s="25" t="s">
        <v>1172</v>
      </c>
      <c r="D123" s="25" t="s">
        <v>903</v>
      </c>
      <c r="E123" s="25" t="s">
        <v>1115</v>
      </c>
      <c r="F123" s="25" t="s">
        <v>1174</v>
      </c>
      <c r="G123" s="25" t="s">
        <v>1378</v>
      </c>
      <c r="H123" s="25" t="s">
        <v>1379</v>
      </c>
      <c r="I123" s="25" t="s">
        <v>1380</v>
      </c>
      <c r="J123" s="25" t="s">
        <v>1172</v>
      </c>
    </row>
    <row r="124" customFormat="false" ht="42.75" hidden="false" customHeight="true" outlineLevel="0" collapsed="false">
      <c r="A124" s="25" t="s">
        <v>1381</v>
      </c>
      <c r="B124" s="25" t="s">
        <v>1113</v>
      </c>
      <c r="C124" s="25" t="s">
        <v>1300</v>
      </c>
      <c r="D124" s="25" t="s">
        <v>1382</v>
      </c>
      <c r="E124" s="25" t="s">
        <v>1216</v>
      </c>
      <c r="F124" s="25" t="s">
        <v>921</v>
      </c>
      <c r="G124" s="25" t="s">
        <v>1383</v>
      </c>
      <c r="H124" s="25" t="s">
        <v>1384</v>
      </c>
      <c r="I124" s="25" t="s">
        <v>1219</v>
      </c>
      <c r="J124" s="25" t="s">
        <v>1300</v>
      </c>
    </row>
    <row r="125" customFormat="false" ht="30" hidden="false" customHeight="true" outlineLevel="0" collapsed="false">
      <c r="A125" s="25" t="s">
        <v>1385</v>
      </c>
      <c r="B125" s="25" t="s">
        <v>1113</v>
      </c>
      <c r="C125" s="25" t="s">
        <v>1304</v>
      </c>
      <c r="D125" s="25" t="s">
        <v>1386</v>
      </c>
      <c r="E125" s="25" t="s">
        <v>1216</v>
      </c>
      <c r="F125" s="25" t="s">
        <v>921</v>
      </c>
      <c r="G125" s="25" t="s">
        <v>1387</v>
      </c>
      <c r="H125" s="25" t="s">
        <v>1384</v>
      </c>
      <c r="I125" s="25" t="s">
        <v>1219</v>
      </c>
      <c r="J125" s="25" t="s">
        <v>1304</v>
      </c>
    </row>
    <row r="126" customFormat="false" ht="94.5" hidden="false" customHeight="true" outlineLevel="0" collapsed="false">
      <c r="A126" s="25" t="s">
        <v>1388</v>
      </c>
      <c r="B126" s="25" t="s">
        <v>917</v>
      </c>
      <c r="C126" s="25" t="s">
        <v>1389</v>
      </c>
      <c r="D126" s="25" t="s">
        <v>1390</v>
      </c>
      <c r="E126" s="25" t="s">
        <v>920</v>
      </c>
      <c r="F126" s="25" t="s">
        <v>921</v>
      </c>
      <c r="G126" s="25" t="s">
        <v>795</v>
      </c>
      <c r="H126" s="25" t="s">
        <v>1391</v>
      </c>
      <c r="I126" s="25" t="s">
        <v>923</v>
      </c>
      <c r="J126" s="25" t="s">
        <v>76</v>
      </c>
    </row>
    <row r="127" customFormat="false" ht="55.5" hidden="false" customHeight="true" outlineLevel="0" collapsed="false">
      <c r="A127" s="25" t="s">
        <v>1392</v>
      </c>
      <c r="B127" s="25" t="s">
        <v>1393</v>
      </c>
      <c r="C127" s="25" t="s">
        <v>1394</v>
      </c>
      <c r="D127" s="25" t="s">
        <v>931</v>
      </c>
      <c r="E127" s="25" t="s">
        <v>1395</v>
      </c>
      <c r="F127" s="25" t="s">
        <v>1396</v>
      </c>
      <c r="G127" s="25" t="s">
        <v>1397</v>
      </c>
      <c r="H127" s="25" t="s">
        <v>1398</v>
      </c>
      <c r="I127" s="25" t="s">
        <v>1399</v>
      </c>
      <c r="J127" s="25" t="s">
        <v>76</v>
      </c>
    </row>
    <row r="128" customFormat="false" ht="30" hidden="false" customHeight="true" outlineLevel="0" collapsed="false">
      <c r="A128" s="25" t="s">
        <v>1400</v>
      </c>
      <c r="B128" s="25" t="s">
        <v>1393</v>
      </c>
      <c r="C128" s="25" t="s">
        <v>1401</v>
      </c>
      <c r="D128" s="25" t="s">
        <v>1402</v>
      </c>
      <c r="E128" s="25" t="s">
        <v>1395</v>
      </c>
      <c r="F128" s="25" t="s">
        <v>1403</v>
      </c>
      <c r="G128" s="25" t="s">
        <v>1404</v>
      </c>
      <c r="H128" s="25" t="s">
        <v>1398</v>
      </c>
      <c r="I128" s="25" t="s">
        <v>1399</v>
      </c>
      <c r="J128" s="25" t="s">
        <v>76</v>
      </c>
    </row>
    <row r="129" customFormat="false" ht="30" hidden="false" customHeight="true" outlineLevel="0" collapsed="false">
      <c r="A129" s="25" t="s">
        <v>1405</v>
      </c>
      <c r="B129" s="25" t="s">
        <v>1393</v>
      </c>
      <c r="C129" s="25" t="s">
        <v>1406</v>
      </c>
      <c r="D129" s="25" t="s">
        <v>891</v>
      </c>
      <c r="E129" s="25" t="s">
        <v>1395</v>
      </c>
      <c r="F129" s="25" t="s">
        <v>1407</v>
      </c>
      <c r="G129" s="25" t="s">
        <v>1408</v>
      </c>
      <c r="H129" s="25" t="s">
        <v>1398</v>
      </c>
      <c r="I129" s="25" t="s">
        <v>1399</v>
      </c>
      <c r="J129" s="25" t="s">
        <v>76</v>
      </c>
    </row>
    <row r="130" customFormat="false" ht="30" hidden="false" customHeight="true" outlineLevel="0" collapsed="false">
      <c r="A130" s="25" t="s">
        <v>1409</v>
      </c>
      <c r="B130" s="25" t="s">
        <v>1393</v>
      </c>
      <c r="C130" s="25" t="s">
        <v>1410</v>
      </c>
      <c r="D130" s="25" t="s">
        <v>1411</v>
      </c>
      <c r="E130" s="25" t="s">
        <v>1395</v>
      </c>
      <c r="F130" s="25" t="s">
        <v>1412</v>
      </c>
      <c r="G130" s="25" t="s">
        <v>1413</v>
      </c>
      <c r="H130" s="25" t="s">
        <v>1398</v>
      </c>
      <c r="I130" s="25" t="s">
        <v>1399</v>
      </c>
      <c r="J130" s="25" t="s">
        <v>76</v>
      </c>
    </row>
    <row r="131" customFormat="false" ht="69" hidden="false" customHeight="true" outlineLevel="0" collapsed="false">
      <c r="A131" s="25" t="s">
        <v>1414</v>
      </c>
      <c r="B131" s="25" t="s">
        <v>1393</v>
      </c>
      <c r="C131" s="25" t="s">
        <v>1415</v>
      </c>
      <c r="D131" s="25" t="s">
        <v>937</v>
      </c>
      <c r="E131" s="25" t="s">
        <v>1395</v>
      </c>
      <c r="F131" s="25" t="s">
        <v>1416</v>
      </c>
      <c r="G131" s="25" t="s">
        <v>1417</v>
      </c>
      <c r="H131" s="25" t="s">
        <v>1398</v>
      </c>
      <c r="I131" s="25" t="s">
        <v>1399</v>
      </c>
      <c r="J131" s="25" t="s">
        <v>76</v>
      </c>
    </row>
    <row r="132" customFormat="false" ht="81.75" hidden="false" customHeight="true" outlineLevel="0" collapsed="false">
      <c r="A132" s="25" t="s">
        <v>1418</v>
      </c>
      <c r="B132" s="25" t="s">
        <v>1393</v>
      </c>
      <c r="C132" s="25" t="s">
        <v>1419</v>
      </c>
      <c r="D132" s="25" t="s">
        <v>1001</v>
      </c>
      <c r="E132" s="25" t="s">
        <v>1395</v>
      </c>
      <c r="F132" s="25" t="s">
        <v>1420</v>
      </c>
      <c r="G132" s="25" t="s">
        <v>1421</v>
      </c>
      <c r="H132" s="25" t="s">
        <v>1398</v>
      </c>
      <c r="I132" s="25" t="s">
        <v>1399</v>
      </c>
      <c r="J132" s="25" t="s">
        <v>76</v>
      </c>
    </row>
    <row r="133" customFormat="false" ht="81.75" hidden="false" customHeight="true" outlineLevel="0" collapsed="false">
      <c r="A133" s="25" t="s">
        <v>1422</v>
      </c>
      <c r="B133" s="25" t="s">
        <v>598</v>
      </c>
      <c r="C133" s="25" t="s">
        <v>291</v>
      </c>
      <c r="D133" s="25" t="s">
        <v>1423</v>
      </c>
      <c r="E133" s="25" t="s">
        <v>2</v>
      </c>
      <c r="F133" s="25" t="s">
        <v>1424</v>
      </c>
      <c r="G133" s="25" t="s">
        <v>292</v>
      </c>
      <c r="H133" s="25" t="s">
        <v>1425</v>
      </c>
      <c r="I133" s="25" t="s">
        <v>1426</v>
      </c>
      <c r="J133" s="25" t="s">
        <v>1427</v>
      </c>
    </row>
    <row r="134" customFormat="false" ht="81.75" hidden="false" customHeight="true" outlineLevel="0" collapsed="false">
      <c r="A134" s="25" t="s">
        <v>1428</v>
      </c>
      <c r="B134" s="25" t="s">
        <v>598</v>
      </c>
      <c r="C134" s="25" t="s">
        <v>291</v>
      </c>
      <c r="D134" s="25" t="s">
        <v>854</v>
      </c>
      <c r="E134" s="25" t="s">
        <v>3</v>
      </c>
      <c r="F134" s="25" t="s">
        <v>856</v>
      </c>
      <c r="G134" s="25" t="s">
        <v>293</v>
      </c>
      <c r="H134" s="25" t="s">
        <v>1429</v>
      </c>
      <c r="I134" s="25" t="s">
        <v>1426</v>
      </c>
      <c r="J134" s="25" t="s">
        <v>1427</v>
      </c>
    </row>
    <row r="135" customFormat="false" ht="81.75" hidden="false" customHeight="true" outlineLevel="0" collapsed="false">
      <c r="A135" s="25" t="s">
        <v>1430</v>
      </c>
      <c r="B135" s="25" t="s">
        <v>598</v>
      </c>
      <c r="C135" s="25" t="s">
        <v>343</v>
      </c>
      <c r="D135" s="25" t="s">
        <v>1029</v>
      </c>
      <c r="E135" s="25" t="s">
        <v>3</v>
      </c>
      <c r="F135" s="25" t="s">
        <v>1031</v>
      </c>
      <c r="G135" s="25" t="s">
        <v>345</v>
      </c>
      <c r="H135" s="25" t="s">
        <v>1431</v>
      </c>
      <c r="I135" s="25" t="s">
        <v>1426</v>
      </c>
      <c r="J135" s="25" t="s">
        <v>1427</v>
      </c>
    </row>
    <row r="136" customFormat="false" ht="81.75" hidden="false" customHeight="true" outlineLevel="0" collapsed="false">
      <c r="A136" s="25" t="s">
        <v>1432</v>
      </c>
      <c r="B136" s="25" t="s">
        <v>598</v>
      </c>
      <c r="C136" s="25" t="s">
        <v>372</v>
      </c>
      <c r="D136" s="25" t="s">
        <v>1433</v>
      </c>
      <c r="E136" s="25" t="s">
        <v>3</v>
      </c>
      <c r="F136" s="25" t="s">
        <v>1434</v>
      </c>
      <c r="G136" s="25" t="s">
        <v>374</v>
      </c>
      <c r="H136" s="25" t="s">
        <v>1435</v>
      </c>
      <c r="I136" s="25" t="s">
        <v>1436</v>
      </c>
      <c r="J136" s="25" t="s">
        <v>1437</v>
      </c>
    </row>
    <row r="137" customFormat="false" ht="81.75" hidden="false" customHeight="true" outlineLevel="0" collapsed="false">
      <c r="A137" s="25" t="s">
        <v>1438</v>
      </c>
      <c r="B137" s="25" t="s">
        <v>1225</v>
      </c>
      <c r="C137" s="25" t="s">
        <v>289</v>
      </c>
      <c r="D137" s="25" t="s">
        <v>1439</v>
      </c>
      <c r="E137" s="25" t="s">
        <v>1227</v>
      </c>
      <c r="F137" s="25" t="s">
        <v>1440</v>
      </c>
      <c r="G137" s="25" t="s">
        <v>1228</v>
      </c>
      <c r="H137" s="25" t="s">
        <v>1441</v>
      </c>
      <c r="I137" s="25" t="s">
        <v>372</v>
      </c>
      <c r="J137" s="25" t="s">
        <v>1437</v>
      </c>
    </row>
    <row r="138" customFormat="false" ht="81.75" hidden="false" customHeight="true" outlineLevel="0" collapsed="false">
      <c r="A138" s="25" t="s">
        <v>1442</v>
      </c>
      <c r="B138" s="25" t="s">
        <v>1225</v>
      </c>
      <c r="C138" s="25" t="s">
        <v>289</v>
      </c>
      <c r="D138" s="25" t="s">
        <v>1443</v>
      </c>
      <c r="E138" s="25" t="s">
        <v>1319</v>
      </c>
      <c r="F138" s="25" t="s">
        <v>1444</v>
      </c>
      <c r="G138" s="25" t="s">
        <v>1445</v>
      </c>
      <c r="H138" s="25" t="s">
        <v>1441</v>
      </c>
      <c r="I138" s="25" t="s">
        <v>372</v>
      </c>
      <c r="J138" s="25" t="s">
        <v>1437</v>
      </c>
    </row>
    <row r="139" customFormat="false" ht="81.75" hidden="false" customHeight="true" outlineLevel="0" collapsed="false">
      <c r="A139" s="25" t="s">
        <v>1446</v>
      </c>
      <c r="B139" s="25" t="s">
        <v>1225</v>
      </c>
      <c r="C139" s="25" t="s">
        <v>289</v>
      </c>
      <c r="D139" s="25" t="s">
        <v>1447</v>
      </c>
      <c r="E139" s="25" t="s">
        <v>1233</v>
      </c>
      <c r="F139" s="25" t="s">
        <v>1448</v>
      </c>
      <c r="G139" s="25" t="s">
        <v>1449</v>
      </c>
      <c r="H139" s="25" t="s">
        <v>1441</v>
      </c>
      <c r="I139" s="25" t="s">
        <v>372</v>
      </c>
      <c r="J139" s="25" t="s">
        <v>1437</v>
      </c>
    </row>
    <row r="140" customFormat="false" ht="81.75" hidden="false" customHeight="true" outlineLevel="0" collapsed="false">
      <c r="A140" s="25" t="s">
        <v>1450</v>
      </c>
      <c r="B140" s="25" t="s">
        <v>1225</v>
      </c>
      <c r="C140" s="25" t="s">
        <v>294</v>
      </c>
      <c r="D140" s="25" t="s">
        <v>1451</v>
      </c>
      <c r="E140" s="25" t="s">
        <v>1319</v>
      </c>
      <c r="F140" s="25" t="s">
        <v>1452</v>
      </c>
      <c r="G140" s="25" t="s">
        <v>1453</v>
      </c>
      <c r="H140" s="25" t="s">
        <v>1454</v>
      </c>
      <c r="I140" s="25" t="s">
        <v>1455</v>
      </c>
      <c r="J140" s="25" t="s">
        <v>1427</v>
      </c>
    </row>
    <row r="141" customFormat="false" ht="81.75" hidden="false" customHeight="true" outlineLevel="0" collapsed="false">
      <c r="A141" s="25" t="s">
        <v>1456</v>
      </c>
      <c r="B141" s="25" t="s">
        <v>1225</v>
      </c>
      <c r="C141" s="25" t="s">
        <v>200</v>
      </c>
      <c r="D141" s="25" t="s">
        <v>1457</v>
      </c>
      <c r="E141" s="25" t="s">
        <v>1319</v>
      </c>
      <c r="F141" s="25" t="s">
        <v>1458</v>
      </c>
      <c r="G141" s="25" t="s">
        <v>1459</v>
      </c>
      <c r="H141" s="25" t="s">
        <v>1454</v>
      </c>
      <c r="I141" s="25" t="s">
        <v>1455</v>
      </c>
      <c r="J141" s="25" t="s">
        <v>1427</v>
      </c>
    </row>
    <row r="142" customFormat="false" ht="81.75" hidden="false" customHeight="true" outlineLevel="0" collapsed="false">
      <c r="A142" s="25" t="s">
        <v>1460</v>
      </c>
      <c r="B142" s="25" t="s">
        <v>1225</v>
      </c>
      <c r="C142" s="25" t="s">
        <v>402</v>
      </c>
      <c r="D142" s="25" t="s">
        <v>1346</v>
      </c>
      <c r="E142" s="25" t="s">
        <v>1319</v>
      </c>
      <c r="F142" s="25" t="s">
        <v>1348</v>
      </c>
      <c r="G142" s="25" t="s">
        <v>1461</v>
      </c>
      <c r="H142" s="25" t="s">
        <v>1454</v>
      </c>
      <c r="I142" s="25" t="s">
        <v>1455</v>
      </c>
      <c r="J142" s="25" t="s">
        <v>1427</v>
      </c>
    </row>
    <row r="143" customFormat="false" ht="81.75" hidden="false" customHeight="true" outlineLevel="0" collapsed="false">
      <c r="A143" s="25" t="s">
        <v>1462</v>
      </c>
      <c r="B143" s="25" t="s">
        <v>917</v>
      </c>
      <c r="C143" s="25" t="s">
        <v>1108</v>
      </c>
      <c r="D143" s="25" t="s">
        <v>1463</v>
      </c>
      <c r="E143" s="25" t="s">
        <v>1464</v>
      </c>
      <c r="F143" s="25" t="s">
        <v>1110</v>
      </c>
      <c r="G143" s="25" t="s">
        <v>793</v>
      </c>
      <c r="H143" s="25" t="s">
        <v>1465</v>
      </c>
      <c r="I143" s="25" t="s">
        <v>1466</v>
      </c>
      <c r="J143" s="25" t="s">
        <v>1467</v>
      </c>
    </row>
    <row r="144" customFormat="false" ht="81.75" hidden="false" customHeight="true" outlineLevel="0" collapsed="false">
      <c r="A144" s="25" t="s">
        <v>1468</v>
      </c>
      <c r="B144" s="25" t="s">
        <v>917</v>
      </c>
      <c r="C144" s="25" t="s">
        <v>1469</v>
      </c>
      <c r="D144" s="25" t="s">
        <v>1470</v>
      </c>
      <c r="E144" s="25" t="s">
        <v>1464</v>
      </c>
      <c r="F144" s="25" t="s">
        <v>1471</v>
      </c>
      <c r="G144" s="25" t="s">
        <v>796</v>
      </c>
      <c r="H144" s="25" t="s">
        <v>1472</v>
      </c>
      <c r="I144" s="25" t="s">
        <v>1473</v>
      </c>
      <c r="J144" s="25" t="s">
        <v>1467</v>
      </c>
    </row>
    <row r="145" customFormat="false" ht="81.75" hidden="false" customHeight="true" outlineLevel="0" collapsed="false">
      <c r="A145" s="25" t="s">
        <v>1474</v>
      </c>
      <c r="B145" s="25" t="s">
        <v>1113</v>
      </c>
      <c r="C145" s="25" t="s">
        <v>1427</v>
      </c>
      <c r="D145" s="25" t="s">
        <v>1475</v>
      </c>
      <c r="E145" s="25" t="s">
        <v>1216</v>
      </c>
      <c r="F145" s="25" t="s">
        <v>1471</v>
      </c>
      <c r="G145" s="25" t="s">
        <v>1476</v>
      </c>
      <c r="H145" s="25" t="s">
        <v>1477</v>
      </c>
      <c r="I145" s="25" t="s">
        <v>1478</v>
      </c>
      <c r="J145" s="25" t="s">
        <v>1427</v>
      </c>
    </row>
    <row r="146" customFormat="false" ht="81.75" hidden="false" customHeight="true" outlineLevel="0" collapsed="false">
      <c r="A146" s="25" t="s">
        <v>1479</v>
      </c>
      <c r="B146" s="25" t="s">
        <v>1113</v>
      </c>
      <c r="C146" s="25" t="s">
        <v>1437</v>
      </c>
      <c r="D146" s="25" t="s">
        <v>1480</v>
      </c>
      <c r="E146" s="25" t="s">
        <v>1216</v>
      </c>
      <c r="F146" s="25" t="s">
        <v>1471</v>
      </c>
      <c r="G146" s="25" t="s">
        <v>1481</v>
      </c>
      <c r="H146" s="25" t="s">
        <v>1477</v>
      </c>
      <c r="I146" s="25" t="s">
        <v>1478</v>
      </c>
      <c r="J146" s="25" t="s">
        <v>1437</v>
      </c>
    </row>
    <row r="147" customFormat="false" ht="81.75" hidden="false" customHeight="true" outlineLevel="0" collapsed="false">
      <c r="A147" s="25" t="s">
        <v>1482</v>
      </c>
      <c r="B147" s="25" t="s">
        <v>1113</v>
      </c>
      <c r="C147" s="25" t="s">
        <v>1467</v>
      </c>
      <c r="D147" s="25" t="s">
        <v>1483</v>
      </c>
      <c r="E147" s="25" t="s">
        <v>1216</v>
      </c>
      <c r="F147" s="25" t="s">
        <v>1471</v>
      </c>
      <c r="G147" s="25" t="s">
        <v>1484</v>
      </c>
      <c r="H147" s="25" t="s">
        <v>1477</v>
      </c>
      <c r="I147" s="25" t="s">
        <v>1478</v>
      </c>
      <c r="J147" s="25" t="s">
        <v>1467</v>
      </c>
    </row>
    <row r="148" customFormat="false" ht="81.75" hidden="false" customHeight="true" outlineLevel="0" collapsed="false">
      <c r="A148" s="25" t="s">
        <v>1485</v>
      </c>
      <c r="B148" s="25" t="s">
        <v>1113</v>
      </c>
      <c r="C148" s="25" t="s">
        <v>1486</v>
      </c>
      <c r="D148" s="25" t="s">
        <v>1487</v>
      </c>
      <c r="E148" s="25" t="s">
        <v>1216</v>
      </c>
      <c r="F148" s="25" t="s">
        <v>1471</v>
      </c>
      <c r="G148" s="25" t="s">
        <v>1488</v>
      </c>
      <c r="H148" s="25" t="s">
        <v>1477</v>
      </c>
      <c r="I148" s="25" t="s">
        <v>1478</v>
      </c>
      <c r="J148" s="25" t="s">
        <v>1486</v>
      </c>
    </row>
    <row r="149" customFormat="false" ht="81.75" hidden="false" customHeight="true" outlineLevel="0" collapsed="false">
      <c r="A149" s="25" t="s">
        <v>1489</v>
      </c>
      <c r="B149" s="25" t="s">
        <v>1393</v>
      </c>
      <c r="C149" s="25" t="s">
        <v>1490</v>
      </c>
      <c r="D149" s="25" t="s">
        <v>1023</v>
      </c>
      <c r="E149" s="25" t="s">
        <v>1395</v>
      </c>
      <c r="F149" s="25" t="s">
        <v>1491</v>
      </c>
      <c r="G149" s="25" t="s">
        <v>1492</v>
      </c>
      <c r="H149" s="25" t="s">
        <v>1493</v>
      </c>
      <c r="I149" s="25" t="s">
        <v>1113</v>
      </c>
      <c r="J149" s="25" t="s">
        <v>1467</v>
      </c>
    </row>
    <row r="150" customFormat="false" ht="81.75" hidden="false" customHeight="true" outlineLevel="0" collapsed="false">
      <c r="A150" s="25" t="s">
        <v>1494</v>
      </c>
      <c r="B150" s="25" t="s">
        <v>1393</v>
      </c>
      <c r="C150" s="25" t="s">
        <v>1393</v>
      </c>
      <c r="D150" s="25" t="s">
        <v>1402</v>
      </c>
      <c r="E150" s="25" t="s">
        <v>1495</v>
      </c>
      <c r="F150" s="25" t="s">
        <v>1404</v>
      </c>
      <c r="G150" s="25" t="s">
        <v>1496</v>
      </c>
      <c r="H150" s="25" t="s">
        <v>1497</v>
      </c>
      <c r="I150" s="25" t="s">
        <v>798</v>
      </c>
      <c r="J150" s="25" t="s">
        <v>1437</v>
      </c>
    </row>
    <row r="151" customFormat="false" ht="81.75" hidden="false" customHeight="true" outlineLevel="0" collapsed="false">
      <c r="A151" s="25" t="s">
        <v>1498</v>
      </c>
      <c r="B151" s="25" t="s">
        <v>1393</v>
      </c>
      <c r="C151" s="25" t="s">
        <v>1393</v>
      </c>
      <c r="D151" s="25" t="s">
        <v>891</v>
      </c>
      <c r="E151" s="25" t="s">
        <v>1499</v>
      </c>
      <c r="F151" s="25" t="s">
        <v>1408</v>
      </c>
      <c r="G151" s="25" t="s">
        <v>1500</v>
      </c>
      <c r="H151" s="25" t="s">
        <v>1501</v>
      </c>
      <c r="I151" s="25" t="s">
        <v>1113</v>
      </c>
      <c r="J151" s="25" t="s">
        <v>1486</v>
      </c>
    </row>
    <row r="152" customFormat="false" ht="81.75" hidden="false" customHeight="true" outlineLevel="0" collapsed="false">
      <c r="A152" s="25" t="s">
        <v>1502</v>
      </c>
      <c r="B152" s="25" t="s">
        <v>1393</v>
      </c>
      <c r="C152" s="25" t="s">
        <v>1393</v>
      </c>
      <c r="D152" s="25" t="s">
        <v>1411</v>
      </c>
      <c r="E152" s="25" t="s">
        <v>1503</v>
      </c>
      <c r="F152" s="25" t="s">
        <v>1413</v>
      </c>
      <c r="G152" s="25" t="s">
        <v>1504</v>
      </c>
      <c r="H152" s="25" t="s">
        <v>1505</v>
      </c>
      <c r="I152" s="25" t="s">
        <v>1113</v>
      </c>
      <c r="J152" s="25" t="s">
        <v>1486</v>
      </c>
    </row>
    <row r="153" customFormat="false" ht="81.75" hidden="false" customHeight="true" outlineLevel="0" collapsed="false">
      <c r="A153" s="25" t="s">
        <v>1506</v>
      </c>
      <c r="B153" s="25" t="s">
        <v>1393</v>
      </c>
      <c r="C153" s="25" t="s">
        <v>1393</v>
      </c>
      <c r="D153" s="25" t="s">
        <v>1507</v>
      </c>
      <c r="E153" s="25" t="s">
        <v>1508</v>
      </c>
      <c r="F153" s="25" t="s">
        <v>1509</v>
      </c>
      <c r="G153" s="25" t="s">
        <v>1510</v>
      </c>
      <c r="H153" s="25" t="s">
        <v>1511</v>
      </c>
      <c r="I153" s="25" t="s">
        <v>1225</v>
      </c>
      <c r="J153" s="25" t="s">
        <v>1437</v>
      </c>
    </row>
    <row r="154" customFormat="false" ht="81.75" hidden="false" customHeight="true" outlineLevel="0" collapsed="false">
      <c r="A154" s="25" t="s">
        <v>1512</v>
      </c>
      <c r="B154" s="25" t="s">
        <v>1393</v>
      </c>
      <c r="C154" s="25" t="s">
        <v>1513</v>
      </c>
      <c r="D154" s="25" t="s">
        <v>1514</v>
      </c>
      <c r="E154" s="25" t="s">
        <v>1216</v>
      </c>
      <c r="F154" s="25" t="s">
        <v>1471</v>
      </c>
      <c r="G154" s="25" t="s">
        <v>1515</v>
      </c>
      <c r="H154" s="25" t="s">
        <v>1472</v>
      </c>
      <c r="I154" s="25" t="s">
        <v>1113</v>
      </c>
      <c r="J154" s="25" t="s">
        <v>1486</v>
      </c>
    </row>
    <row r="155" customFormat="false" ht="81.75" hidden="false" customHeight="true" outlineLevel="0" collapsed="false">
      <c r="A155" s="25" t="s">
        <v>1516</v>
      </c>
      <c r="B155" s="25" t="s">
        <v>1393</v>
      </c>
      <c r="C155" s="25" t="s">
        <v>1517</v>
      </c>
      <c r="D155" s="25" t="s">
        <v>1518</v>
      </c>
      <c r="E155" s="25" t="s">
        <v>1216</v>
      </c>
      <c r="F155" s="25" t="s">
        <v>1471</v>
      </c>
      <c r="G155" s="25" t="s">
        <v>1519</v>
      </c>
      <c r="H155" s="25" t="s">
        <v>1472</v>
      </c>
      <c r="I155" s="25" t="s">
        <v>1113</v>
      </c>
      <c r="J155" s="25" t="s">
        <v>1486</v>
      </c>
    </row>
    <row r="156" customFormat="false" ht="81.75" hidden="false" customHeight="true" outlineLevel="0" collapsed="false">
      <c r="A156" s="25" t="s">
        <v>1520</v>
      </c>
      <c r="B156" s="25" t="s">
        <v>1393</v>
      </c>
      <c r="C156" s="25" t="s">
        <v>1521</v>
      </c>
      <c r="D156" s="25" t="s">
        <v>1522</v>
      </c>
      <c r="E156" s="25" t="s">
        <v>1216</v>
      </c>
      <c r="F156" s="25" t="s">
        <v>1471</v>
      </c>
      <c r="G156" s="25" t="s">
        <v>1523</v>
      </c>
      <c r="H156" s="25" t="s">
        <v>1472</v>
      </c>
      <c r="I156" s="25" t="s">
        <v>1113</v>
      </c>
      <c r="J156" s="25" t="s">
        <v>1486</v>
      </c>
    </row>
    <row r="157" customFormat="false" ht="81.75" hidden="false" customHeight="true" outlineLevel="0" collapsed="false">
      <c r="A157" s="25" t="s">
        <v>1524</v>
      </c>
      <c r="B157" s="25" t="s">
        <v>593</v>
      </c>
      <c r="C157" s="25" t="s">
        <v>1525</v>
      </c>
      <c r="D157" s="25" t="s">
        <v>1526</v>
      </c>
      <c r="E157" s="25" t="s">
        <v>1527</v>
      </c>
      <c r="F157" s="25" t="s">
        <v>921</v>
      </c>
      <c r="G157" s="25" t="s">
        <v>1528</v>
      </c>
      <c r="H157" s="25" t="s">
        <v>1529</v>
      </c>
      <c r="I157" s="25" t="s">
        <v>1530</v>
      </c>
      <c r="J157" s="25" t="s">
        <v>1531</v>
      </c>
    </row>
    <row r="158" customFormat="false" ht="81.75" hidden="false" customHeight="true" outlineLevel="0" collapsed="false">
      <c r="A158" s="25" t="s">
        <v>1532</v>
      </c>
      <c r="B158" s="25" t="s">
        <v>598</v>
      </c>
      <c r="C158" s="25" t="s">
        <v>1525</v>
      </c>
      <c r="D158" s="25" t="s">
        <v>1533</v>
      </c>
      <c r="E158" s="25" t="s">
        <v>1527</v>
      </c>
      <c r="F158" s="25" t="s">
        <v>921</v>
      </c>
      <c r="G158" s="25" t="s">
        <v>1528</v>
      </c>
      <c r="H158" s="25" t="s">
        <v>1529</v>
      </c>
      <c r="I158" s="25" t="s">
        <v>1530</v>
      </c>
      <c r="J158" s="25" t="s">
        <v>1531</v>
      </c>
    </row>
    <row r="159" customFormat="false" ht="81.75" hidden="false" customHeight="true" outlineLevel="0" collapsed="false">
      <c r="A159" s="25" t="s">
        <v>1534</v>
      </c>
      <c r="B159" s="25" t="s">
        <v>874</v>
      </c>
      <c r="C159" s="25" t="s">
        <v>1525</v>
      </c>
      <c r="D159" s="25" t="s">
        <v>1535</v>
      </c>
      <c r="E159" s="25" t="s">
        <v>1527</v>
      </c>
      <c r="F159" s="25" t="s">
        <v>921</v>
      </c>
      <c r="G159" s="25" t="s">
        <v>1528</v>
      </c>
      <c r="H159" s="25" t="s">
        <v>1529</v>
      </c>
      <c r="I159" s="25" t="s">
        <v>1530</v>
      </c>
      <c r="J159" s="25" t="s">
        <v>1531</v>
      </c>
    </row>
    <row r="160" customFormat="false" ht="81.75" hidden="false" customHeight="true" outlineLevel="0" collapsed="false">
      <c r="A160" s="25" t="s">
        <v>1536</v>
      </c>
      <c r="B160" s="25" t="s">
        <v>890</v>
      </c>
      <c r="C160" s="25" t="s">
        <v>1525</v>
      </c>
      <c r="D160" s="25" t="s">
        <v>1537</v>
      </c>
      <c r="E160" s="25" t="s">
        <v>1527</v>
      </c>
      <c r="F160" s="25" t="s">
        <v>921</v>
      </c>
      <c r="G160" s="25" t="s">
        <v>1528</v>
      </c>
      <c r="H160" s="25" t="s">
        <v>1529</v>
      </c>
      <c r="I160" s="25" t="s">
        <v>1530</v>
      </c>
      <c r="J160" s="25" t="s">
        <v>1531</v>
      </c>
    </row>
    <row r="161" customFormat="false" ht="81.75" hidden="false" customHeight="true" outlineLevel="0" collapsed="false">
      <c r="A161" s="25" t="s">
        <v>1538</v>
      </c>
      <c r="B161" s="25" t="s">
        <v>1539</v>
      </c>
      <c r="C161" s="25" t="s">
        <v>1540</v>
      </c>
      <c r="D161" s="25" t="s">
        <v>1541</v>
      </c>
      <c r="E161" s="25" t="s">
        <v>1542</v>
      </c>
      <c r="F161" s="25" t="s">
        <v>921</v>
      </c>
      <c r="G161" s="25" t="s">
        <v>1543</v>
      </c>
      <c r="H161" s="25" t="s">
        <v>1544</v>
      </c>
      <c r="I161" s="25" t="s">
        <v>1545</v>
      </c>
      <c r="J161" s="25" t="s">
        <v>1531</v>
      </c>
    </row>
    <row r="162" customFormat="false" ht="81.75" hidden="false" customHeight="true" outlineLevel="0" collapsed="false">
      <c r="A162" s="25" t="s">
        <v>1546</v>
      </c>
      <c r="B162" s="25" t="s">
        <v>1113</v>
      </c>
      <c r="C162" s="25" t="s">
        <v>1547</v>
      </c>
      <c r="D162" s="25" t="s">
        <v>1548</v>
      </c>
      <c r="E162" s="25" t="s">
        <v>1216</v>
      </c>
      <c r="F162" s="25" t="s">
        <v>1471</v>
      </c>
      <c r="G162" s="25" t="s">
        <v>1549</v>
      </c>
      <c r="H162" s="25" t="s">
        <v>1550</v>
      </c>
      <c r="I162" s="25" t="s">
        <v>1551</v>
      </c>
      <c r="J162" s="25" t="s">
        <v>1547</v>
      </c>
    </row>
    <row r="163" customFormat="false" ht="81.75" hidden="false" customHeight="true" outlineLevel="0" collapsed="false">
      <c r="A163" s="25" t="s">
        <v>1552</v>
      </c>
      <c r="B163" s="25" t="s">
        <v>1113</v>
      </c>
      <c r="C163" s="25" t="s">
        <v>1553</v>
      </c>
      <c r="D163" s="25" t="s">
        <v>1554</v>
      </c>
      <c r="E163" s="25" t="s">
        <v>1216</v>
      </c>
      <c r="F163" s="25" t="s">
        <v>1471</v>
      </c>
      <c r="G163" s="25" t="s">
        <v>1555</v>
      </c>
      <c r="H163" s="25" t="s">
        <v>1550</v>
      </c>
      <c r="I163" s="25" t="s">
        <v>1551</v>
      </c>
      <c r="J163" s="25" t="s">
        <v>1553</v>
      </c>
    </row>
    <row r="164" customFormat="false" ht="81.75" hidden="false" customHeight="true" outlineLevel="0" collapsed="false">
      <c r="A164" s="25" t="s">
        <v>1556</v>
      </c>
      <c r="B164" s="25" t="s">
        <v>1113</v>
      </c>
      <c r="C164" s="25" t="s">
        <v>1557</v>
      </c>
      <c r="D164" s="25" t="s">
        <v>1558</v>
      </c>
      <c r="E164" s="25" t="s">
        <v>1216</v>
      </c>
      <c r="F164" s="25" t="s">
        <v>1471</v>
      </c>
      <c r="G164" s="25" t="s">
        <v>1559</v>
      </c>
      <c r="H164" s="25" t="s">
        <v>1550</v>
      </c>
      <c r="I164" s="25" t="s">
        <v>1551</v>
      </c>
      <c r="J164" s="25" t="s">
        <v>1557</v>
      </c>
    </row>
    <row r="165" customFormat="false" ht="81.75" hidden="false" customHeight="true" outlineLevel="0" collapsed="false">
      <c r="A165" s="25" t="s">
        <v>1560</v>
      </c>
      <c r="B165" s="25" t="s">
        <v>1113</v>
      </c>
      <c r="C165" s="25" t="s">
        <v>1561</v>
      </c>
      <c r="D165" s="25" t="s">
        <v>1562</v>
      </c>
      <c r="E165" s="25" t="s">
        <v>1216</v>
      </c>
      <c r="F165" s="25" t="s">
        <v>1471</v>
      </c>
      <c r="G165" s="25" t="s">
        <v>1563</v>
      </c>
      <c r="H165" s="25" t="s">
        <v>1550</v>
      </c>
      <c r="I165" s="25" t="s">
        <v>1551</v>
      </c>
      <c r="J165" s="25" t="s">
        <v>1561</v>
      </c>
    </row>
    <row r="166" customFormat="false" ht="81.75" hidden="false" customHeight="true" outlineLevel="0" collapsed="false">
      <c r="A166" s="25" t="s">
        <v>1564</v>
      </c>
      <c r="B166" s="25" t="s">
        <v>1113</v>
      </c>
      <c r="C166" s="25" t="s">
        <v>1565</v>
      </c>
      <c r="D166" s="25" t="s">
        <v>1566</v>
      </c>
      <c r="E166" s="25" t="s">
        <v>1216</v>
      </c>
      <c r="F166" s="25" t="s">
        <v>1471</v>
      </c>
      <c r="G166" s="25" t="s">
        <v>1567</v>
      </c>
      <c r="H166" s="25" t="s">
        <v>1550</v>
      </c>
      <c r="I166" s="25" t="s">
        <v>1551</v>
      </c>
      <c r="J166" s="25" t="s">
        <v>1565</v>
      </c>
    </row>
    <row r="167" customFormat="false" ht="81.75" hidden="false" customHeight="true" outlineLevel="0" collapsed="false">
      <c r="A167" s="25" t="s">
        <v>1568</v>
      </c>
      <c r="B167" s="25" t="s">
        <v>1113</v>
      </c>
      <c r="C167" s="25" t="s">
        <v>1569</v>
      </c>
      <c r="D167" s="25" t="s">
        <v>1570</v>
      </c>
      <c r="E167" s="25" t="s">
        <v>1216</v>
      </c>
      <c r="F167" s="25" t="s">
        <v>1471</v>
      </c>
      <c r="G167" s="25" t="s">
        <v>1571</v>
      </c>
      <c r="H167" s="25" t="s">
        <v>1550</v>
      </c>
      <c r="I167" s="25" t="s">
        <v>1551</v>
      </c>
      <c r="J167" s="25" t="s">
        <v>1569</v>
      </c>
    </row>
    <row r="168" customFormat="false" ht="81.75" hidden="false" customHeight="true" outlineLevel="0" collapsed="false">
      <c r="A168" s="25" t="s">
        <v>1572</v>
      </c>
      <c r="B168" s="25" t="s">
        <v>1113</v>
      </c>
      <c r="C168" s="25" t="s">
        <v>1573</v>
      </c>
      <c r="D168" s="25" t="s">
        <v>1574</v>
      </c>
      <c r="E168" s="25" t="s">
        <v>1216</v>
      </c>
      <c r="F168" s="25" t="s">
        <v>1471</v>
      </c>
      <c r="G168" s="25" t="s">
        <v>1575</v>
      </c>
      <c r="H168" s="25" t="s">
        <v>1550</v>
      </c>
      <c r="I168" s="25" t="s">
        <v>1551</v>
      </c>
      <c r="J168" s="25" t="s">
        <v>1573</v>
      </c>
    </row>
    <row r="169" customFormat="false" ht="81.75" hidden="false" customHeight="true" outlineLevel="0" collapsed="false">
      <c r="A169" s="25" t="s">
        <v>1576</v>
      </c>
      <c r="B169" s="25" t="s">
        <v>1113</v>
      </c>
      <c r="C169" s="25" t="s">
        <v>1577</v>
      </c>
      <c r="D169" s="25" t="s">
        <v>1578</v>
      </c>
      <c r="E169" s="25" t="s">
        <v>1216</v>
      </c>
      <c r="F169" s="25" t="s">
        <v>1471</v>
      </c>
      <c r="G169" s="25" t="s">
        <v>1579</v>
      </c>
      <c r="H169" s="25" t="s">
        <v>1550</v>
      </c>
      <c r="I169" s="25" t="s">
        <v>1551</v>
      </c>
      <c r="J169" s="25" t="s">
        <v>1577</v>
      </c>
    </row>
    <row r="170" customFormat="false" ht="81.75" hidden="false" customHeight="true" outlineLevel="0" collapsed="false">
      <c r="A170" s="25" t="s">
        <v>1580</v>
      </c>
      <c r="B170" s="25" t="s">
        <v>1113</v>
      </c>
      <c r="C170" s="25" t="s">
        <v>1581</v>
      </c>
      <c r="D170" s="25" t="s">
        <v>1582</v>
      </c>
      <c r="E170" s="25" t="s">
        <v>1216</v>
      </c>
      <c r="F170" s="25" t="s">
        <v>1471</v>
      </c>
      <c r="G170" s="25" t="s">
        <v>1583</v>
      </c>
      <c r="H170" s="25" t="s">
        <v>1550</v>
      </c>
      <c r="I170" s="25" t="s">
        <v>1551</v>
      </c>
      <c r="J170" s="25" t="s">
        <v>1581</v>
      </c>
    </row>
    <row r="171" customFormat="false" ht="81.75" hidden="false" customHeight="true" outlineLevel="0" collapsed="false">
      <c r="A171" s="25" t="s">
        <v>1584</v>
      </c>
      <c r="B171" s="25" t="s">
        <v>1113</v>
      </c>
      <c r="C171" s="25" t="s">
        <v>1585</v>
      </c>
      <c r="D171" s="25" t="s">
        <v>1586</v>
      </c>
      <c r="E171" s="25" t="s">
        <v>1216</v>
      </c>
      <c r="F171" s="25" t="s">
        <v>1471</v>
      </c>
      <c r="G171" s="25" t="s">
        <v>1587</v>
      </c>
      <c r="H171" s="25" t="s">
        <v>1550</v>
      </c>
      <c r="I171" s="25" t="s">
        <v>1551</v>
      </c>
      <c r="J171" s="25" t="s">
        <v>1585</v>
      </c>
    </row>
    <row r="172" customFormat="false" ht="81.75" hidden="false" customHeight="true" outlineLevel="0" collapsed="false">
      <c r="A172" s="25" t="s">
        <v>1588</v>
      </c>
      <c r="B172" s="25" t="s">
        <v>1113</v>
      </c>
      <c r="C172" s="25" t="s">
        <v>1589</v>
      </c>
      <c r="D172" s="25" t="s">
        <v>1590</v>
      </c>
      <c r="E172" s="25" t="s">
        <v>1216</v>
      </c>
      <c r="F172" s="25" t="s">
        <v>1471</v>
      </c>
      <c r="G172" s="25" t="s">
        <v>1591</v>
      </c>
      <c r="H172" s="25" t="s">
        <v>1550</v>
      </c>
      <c r="I172" s="25" t="s">
        <v>1551</v>
      </c>
      <c r="J172" s="25" t="s">
        <v>1589</v>
      </c>
    </row>
    <row r="173" customFormat="false" ht="81.75" hidden="false" customHeight="true" outlineLevel="0" collapsed="false">
      <c r="A173" s="25" t="s">
        <v>1592</v>
      </c>
      <c r="B173" s="25" t="s">
        <v>1113</v>
      </c>
      <c r="C173" s="25" t="s">
        <v>1593</v>
      </c>
      <c r="D173" s="25" t="s">
        <v>1594</v>
      </c>
      <c r="E173" s="25" t="s">
        <v>1216</v>
      </c>
      <c r="F173" s="25" t="s">
        <v>1471</v>
      </c>
      <c r="G173" s="25" t="s">
        <v>1595</v>
      </c>
      <c r="H173" s="25" t="s">
        <v>1550</v>
      </c>
      <c r="I173" s="25" t="s">
        <v>1551</v>
      </c>
      <c r="J173" s="25" t="s">
        <v>1593</v>
      </c>
    </row>
    <row r="174" customFormat="false" ht="81.75" hidden="false" customHeight="true" outlineLevel="0" collapsed="false">
      <c r="A174" s="25" t="s">
        <v>1596</v>
      </c>
      <c r="B174" s="25" t="s">
        <v>917</v>
      </c>
      <c r="C174" s="25" t="s">
        <v>1597</v>
      </c>
      <c r="D174" s="25" t="s">
        <v>1598</v>
      </c>
      <c r="E174" s="25" t="s">
        <v>1464</v>
      </c>
      <c r="F174" s="25" t="s">
        <v>1471</v>
      </c>
      <c r="G174" s="25" t="s">
        <v>797</v>
      </c>
      <c r="H174" s="25" t="s">
        <v>1599</v>
      </c>
      <c r="I174" s="25" t="s">
        <v>1551</v>
      </c>
      <c r="J174" s="25" t="s">
        <v>1531</v>
      </c>
    </row>
    <row r="175" customFormat="false" ht="81.75" hidden="false" customHeight="true" outlineLevel="0" collapsed="false">
      <c r="A175" s="25" t="s">
        <v>1600</v>
      </c>
      <c r="B175" s="25" t="s">
        <v>1393</v>
      </c>
      <c r="C175" s="25" t="s">
        <v>1499</v>
      </c>
      <c r="D175" s="25" t="s">
        <v>891</v>
      </c>
      <c r="E175" s="25" t="s">
        <v>1395</v>
      </c>
      <c r="F175" s="25" t="s">
        <v>1500</v>
      </c>
      <c r="G175" s="25" t="s">
        <v>1601</v>
      </c>
      <c r="H175" s="25" t="s">
        <v>1602</v>
      </c>
      <c r="I175" s="25" t="s">
        <v>1113</v>
      </c>
      <c r="J175" s="25" t="s">
        <v>1593</v>
      </c>
    </row>
    <row r="176" customFormat="false" ht="81.75" hidden="false" customHeight="true" outlineLevel="0" collapsed="false">
      <c r="A176" s="25" t="s">
        <v>1603</v>
      </c>
      <c r="B176" s="25" t="s">
        <v>1393</v>
      </c>
      <c r="C176" s="25" t="s">
        <v>1503</v>
      </c>
      <c r="D176" s="25" t="s">
        <v>1411</v>
      </c>
      <c r="E176" s="25" t="s">
        <v>1395</v>
      </c>
      <c r="F176" s="25" t="s">
        <v>1504</v>
      </c>
      <c r="G176" s="25" t="s">
        <v>1604</v>
      </c>
      <c r="H176" s="25" t="s">
        <v>1602</v>
      </c>
      <c r="I176" s="25" t="s">
        <v>1113</v>
      </c>
      <c r="J176" s="25" t="s">
        <v>1593</v>
      </c>
    </row>
    <row r="177" customFormat="false" ht="81.75" hidden="false" customHeight="true" outlineLevel="0" collapsed="false">
      <c r="A177" s="25" t="s">
        <v>1605</v>
      </c>
      <c r="B177" s="25" t="s">
        <v>1393</v>
      </c>
      <c r="C177" s="25" t="s">
        <v>1606</v>
      </c>
      <c r="D177" s="25" t="s">
        <v>937</v>
      </c>
      <c r="E177" s="25" t="s">
        <v>1395</v>
      </c>
      <c r="F177" s="25" t="s">
        <v>1417</v>
      </c>
      <c r="G177" s="25" t="s">
        <v>1607</v>
      </c>
      <c r="H177" s="25" t="s">
        <v>1602</v>
      </c>
      <c r="I177" s="25" t="s">
        <v>1113</v>
      </c>
      <c r="J177" s="25" t="s">
        <v>1593</v>
      </c>
    </row>
    <row r="178" customFormat="false" ht="81.75" hidden="false" customHeight="true" outlineLevel="0" collapsed="false">
      <c r="A178" s="25" t="s">
        <v>1608</v>
      </c>
      <c r="B178" s="25" t="s">
        <v>1393</v>
      </c>
      <c r="C178" s="25" t="s">
        <v>1606</v>
      </c>
      <c r="D178" s="25" t="s">
        <v>937</v>
      </c>
      <c r="E178" s="25" t="s">
        <v>1395</v>
      </c>
      <c r="F178" s="25" t="s">
        <v>1607</v>
      </c>
      <c r="G178" s="25" t="s">
        <v>1609</v>
      </c>
      <c r="H178" s="25" t="s">
        <v>1602</v>
      </c>
      <c r="I178" s="25" t="s">
        <v>1113</v>
      </c>
      <c r="J178" s="25" t="s">
        <v>1593</v>
      </c>
    </row>
    <row r="179" customFormat="false" ht="81.75" hidden="false" customHeight="true" outlineLevel="0" collapsed="false">
      <c r="A179" s="25" t="s">
        <v>1610</v>
      </c>
      <c r="B179" s="25" t="s">
        <v>1393</v>
      </c>
      <c r="C179" s="25" t="s">
        <v>1611</v>
      </c>
      <c r="D179" s="25" t="s">
        <v>925</v>
      </c>
      <c r="E179" s="25" t="s">
        <v>1395</v>
      </c>
      <c r="F179" s="25" t="s">
        <v>1612</v>
      </c>
      <c r="G179" s="25" t="s">
        <v>1613</v>
      </c>
      <c r="H179" s="25" t="s">
        <v>1602</v>
      </c>
      <c r="I179" s="25" t="s">
        <v>1113</v>
      </c>
      <c r="J179" s="25" t="s">
        <v>1593</v>
      </c>
    </row>
    <row r="180" customFormat="false" ht="81.75" hidden="false" customHeight="true" outlineLevel="0" collapsed="false">
      <c r="A180" s="25" t="s">
        <v>1614</v>
      </c>
      <c r="B180" s="25" t="s">
        <v>1393</v>
      </c>
      <c r="C180" s="25" t="s">
        <v>1539</v>
      </c>
      <c r="D180" s="25" t="s">
        <v>1615</v>
      </c>
      <c r="E180" s="25" t="s">
        <v>1216</v>
      </c>
      <c r="F180" s="25" t="s">
        <v>1471</v>
      </c>
      <c r="G180" s="25" t="s">
        <v>1616</v>
      </c>
      <c r="H180" s="25" t="s">
        <v>1599</v>
      </c>
      <c r="I180" s="25" t="s">
        <v>1113</v>
      </c>
      <c r="J180" s="25" t="s">
        <v>1593</v>
      </c>
    </row>
    <row r="181" customFormat="false" ht="81.75" hidden="false" customHeight="true" outlineLevel="0" collapsed="false">
      <c r="A181" s="25" t="s">
        <v>1617</v>
      </c>
      <c r="B181" s="25" t="s">
        <v>1393</v>
      </c>
      <c r="C181" s="25" t="s">
        <v>1618</v>
      </c>
      <c r="D181" s="25" t="s">
        <v>1619</v>
      </c>
      <c r="E181" s="25" t="s">
        <v>1216</v>
      </c>
      <c r="F181" s="25" t="s">
        <v>1471</v>
      </c>
      <c r="G181" s="25" t="s">
        <v>1620</v>
      </c>
      <c r="H181" s="25" t="s">
        <v>1599</v>
      </c>
      <c r="I181" s="25" t="s">
        <v>1113</v>
      </c>
      <c r="J181" s="25" t="s">
        <v>1593</v>
      </c>
    </row>
  </sheetData>
  <autoFilter ref="A2:J21"/>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24"/>
    <col collapsed="false" customWidth="true" hidden="false" outlineLevel="0" max="4" min="4" style="1" width="60"/>
    <col collapsed="false" customWidth="true" hidden="false" outlineLevel="0" max="5" min="5" style="1" width="10"/>
    <col collapsed="false" customWidth="true" hidden="false" outlineLevel="0" max="6" min="6" style="1" width="48"/>
    <col collapsed="false" customWidth="true" hidden="false" outlineLevel="0" max="7" min="7" style="1" width="26"/>
  </cols>
  <sheetData>
    <row r="1" customFormat="false" ht="30" hidden="false" customHeight="true" outlineLevel="0" collapsed="false">
      <c r="A1" s="2" t="s">
        <v>1113</v>
      </c>
      <c r="B1" s="2"/>
      <c r="C1" s="2"/>
      <c r="D1" s="2"/>
      <c r="E1" s="2"/>
      <c r="F1" s="2"/>
      <c r="G1" s="2"/>
    </row>
    <row r="2" customFormat="false" ht="30" hidden="false" customHeight="true" outlineLevel="0" collapsed="false">
      <c r="A2" s="3" t="s">
        <v>808</v>
      </c>
      <c r="B2" s="3" t="s">
        <v>1621</v>
      </c>
      <c r="C2" s="3" t="s">
        <v>1622</v>
      </c>
      <c r="D2" s="3" t="s">
        <v>1115</v>
      </c>
      <c r="E2" s="3" t="s">
        <v>1623</v>
      </c>
      <c r="F2" s="3" t="s">
        <v>1122</v>
      </c>
      <c r="G2" s="3" t="s">
        <v>1127</v>
      </c>
    </row>
    <row r="3" customFormat="false" ht="33" hidden="false" customHeight="true" outlineLevel="0" collapsed="false">
      <c r="A3" s="4" t="s">
        <v>814</v>
      </c>
      <c r="B3" s="4" t="s">
        <v>95</v>
      </c>
      <c r="C3" s="4" t="s">
        <v>1624</v>
      </c>
      <c r="D3" s="4" t="s">
        <v>1625</v>
      </c>
      <c r="E3" s="4" t="s">
        <v>1626</v>
      </c>
      <c r="F3" s="4" t="s">
        <v>1627</v>
      </c>
      <c r="G3" s="4" t="s">
        <v>1503</v>
      </c>
    </row>
    <row r="4" customFormat="false" ht="46.5" hidden="false" customHeight="true" outlineLevel="0" collapsed="false">
      <c r="A4" s="4" t="s">
        <v>820</v>
      </c>
      <c r="B4" s="4" t="s">
        <v>99</v>
      </c>
      <c r="C4" s="4" t="s">
        <v>1628</v>
      </c>
      <c r="D4" s="4" t="s">
        <v>1629</v>
      </c>
      <c r="E4" s="4" t="s">
        <v>1626</v>
      </c>
      <c r="F4" s="4" t="s">
        <v>1630</v>
      </c>
      <c r="G4" s="4" t="s">
        <v>1503</v>
      </c>
    </row>
    <row r="5" customFormat="false" ht="55.5" hidden="false" customHeight="true" outlineLevel="0" collapsed="false">
      <c r="A5" s="4" t="s">
        <v>826</v>
      </c>
      <c r="B5" s="4" t="s">
        <v>1631</v>
      </c>
      <c r="C5" s="4" t="s">
        <v>1632</v>
      </c>
      <c r="D5" s="4" t="s">
        <v>1633</v>
      </c>
      <c r="E5" s="4" t="s">
        <v>1626</v>
      </c>
      <c r="F5" s="25" t="s">
        <v>1634</v>
      </c>
      <c r="G5" s="25" t="s">
        <v>1503</v>
      </c>
    </row>
    <row r="6" customFormat="false" ht="33" hidden="false" customHeight="true" outlineLevel="0" collapsed="false">
      <c r="A6" s="4" t="s">
        <v>832</v>
      </c>
      <c r="B6" s="4" t="s">
        <v>144</v>
      </c>
      <c r="C6" s="4" t="s">
        <v>1635</v>
      </c>
      <c r="D6" s="4" t="s">
        <v>1636</v>
      </c>
      <c r="E6" s="4" t="s">
        <v>1637</v>
      </c>
      <c r="F6" s="4" t="s">
        <v>1638</v>
      </c>
      <c r="G6" s="4" t="s">
        <v>1503</v>
      </c>
    </row>
    <row r="7" customFormat="false" ht="46.5" hidden="false" customHeight="true" outlineLevel="0" collapsed="false">
      <c r="A7" s="4" t="s">
        <v>838</v>
      </c>
      <c r="B7" s="4" t="s">
        <v>1639</v>
      </c>
      <c r="C7" s="4" t="s">
        <v>1628</v>
      </c>
      <c r="D7" s="4" t="s">
        <v>1640</v>
      </c>
      <c r="E7" s="4" t="s">
        <v>1626</v>
      </c>
      <c r="F7" s="4" t="s">
        <v>1641</v>
      </c>
      <c r="G7" s="4" t="s">
        <v>1503</v>
      </c>
    </row>
    <row r="8" customFormat="false" ht="46.5" hidden="false" customHeight="true" outlineLevel="0" collapsed="false">
      <c r="A8" s="4" t="s">
        <v>845</v>
      </c>
      <c r="B8" s="4" t="s">
        <v>1642</v>
      </c>
      <c r="C8" s="4" t="s">
        <v>1643</v>
      </c>
      <c r="D8" s="4" t="s">
        <v>1644</v>
      </c>
      <c r="E8" s="4" t="s">
        <v>1626</v>
      </c>
      <c r="F8" s="4" t="s">
        <v>1645</v>
      </c>
      <c r="G8" s="4" t="s">
        <v>1503</v>
      </c>
    </row>
    <row r="9" customFormat="false" ht="19.5" hidden="false" customHeight="true" outlineLevel="0" collapsed="false">
      <c r="A9" s="4" t="s">
        <v>852</v>
      </c>
      <c r="B9" s="4" t="s">
        <v>250</v>
      </c>
      <c r="C9" s="4" t="s">
        <v>1628</v>
      </c>
      <c r="D9" s="4" t="s">
        <v>1646</v>
      </c>
      <c r="E9" s="4" t="s">
        <v>1626</v>
      </c>
      <c r="F9" s="4" t="s">
        <v>1630</v>
      </c>
      <c r="G9" s="4" t="s">
        <v>1503</v>
      </c>
    </row>
    <row r="10" customFormat="false" ht="33" hidden="false" customHeight="true" outlineLevel="0" collapsed="false">
      <c r="A10" s="4" t="s">
        <v>859</v>
      </c>
      <c r="B10" s="4" t="s">
        <v>291</v>
      </c>
      <c r="C10" s="4" t="s">
        <v>1628</v>
      </c>
      <c r="D10" s="4" t="s">
        <v>1647</v>
      </c>
      <c r="E10" s="4" t="s">
        <v>1626</v>
      </c>
      <c r="F10" s="4" t="s">
        <v>1630</v>
      </c>
      <c r="G10" s="4" t="s">
        <v>1503</v>
      </c>
    </row>
    <row r="11" customFormat="false" ht="33" hidden="false" customHeight="true" outlineLevel="0" collapsed="false">
      <c r="A11" s="4" t="s">
        <v>866</v>
      </c>
      <c r="B11" s="4" t="s">
        <v>305</v>
      </c>
      <c r="C11" s="4" t="s">
        <v>1628</v>
      </c>
      <c r="D11" s="4" t="s">
        <v>1648</v>
      </c>
      <c r="E11" s="4" t="s">
        <v>1637</v>
      </c>
      <c r="F11" s="4" t="s">
        <v>1630</v>
      </c>
      <c r="G11" s="4" t="s">
        <v>1503</v>
      </c>
    </row>
    <row r="12" customFormat="false" ht="33" hidden="false" customHeight="true" outlineLevel="0" collapsed="false">
      <c r="A12" s="4" t="s">
        <v>872</v>
      </c>
      <c r="B12" s="4" t="s">
        <v>320</v>
      </c>
      <c r="C12" s="4" t="s">
        <v>1649</v>
      </c>
      <c r="D12" s="4" t="s">
        <v>1650</v>
      </c>
      <c r="E12" s="4" t="s">
        <v>1637</v>
      </c>
      <c r="F12" s="4" t="s">
        <v>1651</v>
      </c>
      <c r="G12" s="4" t="s">
        <v>1503</v>
      </c>
    </row>
    <row r="13" customFormat="false" ht="33" hidden="false" customHeight="true" outlineLevel="0" collapsed="false">
      <c r="A13" s="4" t="s">
        <v>878</v>
      </c>
      <c r="B13" s="4" t="s">
        <v>467</v>
      </c>
      <c r="C13" s="4" t="s">
        <v>1649</v>
      </c>
      <c r="D13" s="4" t="s">
        <v>1652</v>
      </c>
      <c r="E13" s="4" t="s">
        <v>1637</v>
      </c>
      <c r="F13" s="4" t="s">
        <v>1651</v>
      </c>
      <c r="G13" s="4" t="s">
        <v>1503</v>
      </c>
    </row>
    <row r="14" customFormat="false" ht="33" hidden="false" customHeight="true" outlineLevel="0" collapsed="false">
      <c r="A14" s="4" t="s">
        <v>883</v>
      </c>
      <c r="B14" s="4" t="s">
        <v>519</v>
      </c>
      <c r="C14" s="4" t="s">
        <v>1653</v>
      </c>
      <c r="D14" s="4" t="s">
        <v>1654</v>
      </c>
      <c r="E14" s="4" t="s">
        <v>1637</v>
      </c>
      <c r="F14" s="4" t="s">
        <v>1655</v>
      </c>
      <c r="G14" s="4" t="s">
        <v>1503</v>
      </c>
    </row>
    <row r="15" customFormat="false" ht="19.5" hidden="false" customHeight="true" outlineLevel="0" collapsed="false">
      <c r="A15" s="4" t="s">
        <v>888</v>
      </c>
      <c r="B15" s="4" t="s">
        <v>462</v>
      </c>
      <c r="C15" s="4" t="s">
        <v>1649</v>
      </c>
      <c r="D15" s="4" t="s">
        <v>1656</v>
      </c>
      <c r="E15" s="4" t="s">
        <v>1637</v>
      </c>
      <c r="F15" s="4" t="s">
        <v>1657</v>
      </c>
      <c r="G15" s="4" t="s">
        <v>1503</v>
      </c>
    </row>
    <row r="16" customFormat="false" ht="46.5" hidden="false" customHeight="true" outlineLevel="0" collapsed="false">
      <c r="A16" s="4" t="s">
        <v>895</v>
      </c>
      <c r="B16" s="4" t="s">
        <v>540</v>
      </c>
      <c r="C16" s="4" t="s">
        <v>1658</v>
      </c>
      <c r="D16" s="4" t="s">
        <v>1659</v>
      </c>
      <c r="E16" s="4" t="s">
        <v>1626</v>
      </c>
      <c r="F16" s="4" t="s">
        <v>1660</v>
      </c>
      <c r="G16" s="4" t="s">
        <v>1503</v>
      </c>
    </row>
    <row r="17" customFormat="false" ht="42.75" hidden="false" customHeight="true" outlineLevel="0" collapsed="false">
      <c r="A17" s="4" t="s">
        <v>1040</v>
      </c>
      <c r="B17" s="4" t="s">
        <v>1661</v>
      </c>
      <c r="C17" s="4" t="s">
        <v>1662</v>
      </c>
      <c r="D17" s="4" t="s">
        <v>1663</v>
      </c>
      <c r="E17" s="4" t="s">
        <v>1637</v>
      </c>
      <c r="F17" s="25" t="s">
        <v>1664</v>
      </c>
      <c r="G17" s="25" t="s">
        <v>1665</v>
      </c>
    </row>
    <row r="18" customFormat="false" ht="33" hidden="false" customHeight="true" outlineLevel="0" collapsed="false">
      <c r="A18" s="4" t="s">
        <v>1055</v>
      </c>
      <c r="B18" s="4" t="s">
        <v>1666</v>
      </c>
      <c r="C18" s="4" t="s">
        <v>1662</v>
      </c>
      <c r="D18" s="4" t="s">
        <v>1667</v>
      </c>
      <c r="E18" s="4" t="s">
        <v>1637</v>
      </c>
      <c r="F18" s="25" t="s">
        <v>1668</v>
      </c>
      <c r="G18" s="25" t="s">
        <v>1665</v>
      </c>
    </row>
    <row r="19" customFormat="false" ht="33" hidden="false" customHeight="true" outlineLevel="0" collapsed="false">
      <c r="A19" s="4" t="s">
        <v>1058</v>
      </c>
      <c r="B19" s="4" t="s">
        <v>1669</v>
      </c>
      <c r="C19" s="4" t="s">
        <v>1662</v>
      </c>
      <c r="D19" s="4" t="s">
        <v>1670</v>
      </c>
      <c r="E19" s="4" t="s">
        <v>1637</v>
      </c>
      <c r="F19" s="25" t="s">
        <v>1671</v>
      </c>
      <c r="G19" s="25" t="s">
        <v>1665</v>
      </c>
    </row>
    <row r="20" customFormat="false" ht="33" hidden="false" customHeight="true" outlineLevel="0" collapsed="false">
      <c r="A20" s="4" t="s">
        <v>1050</v>
      </c>
      <c r="B20" s="4" t="s">
        <v>1672</v>
      </c>
      <c r="C20" s="4" t="s">
        <v>1662</v>
      </c>
      <c r="D20" s="4" t="s">
        <v>1673</v>
      </c>
      <c r="E20" s="4" t="s">
        <v>1637</v>
      </c>
      <c r="F20" s="25" t="s">
        <v>1674</v>
      </c>
      <c r="G20" s="25" t="s">
        <v>1665</v>
      </c>
    </row>
    <row r="21" customFormat="false" ht="33" hidden="false" customHeight="true" outlineLevel="0" collapsed="false">
      <c r="A21" s="4" t="s">
        <v>1062</v>
      </c>
      <c r="B21" s="4" t="s">
        <v>1675</v>
      </c>
      <c r="C21" s="4" t="s">
        <v>1662</v>
      </c>
      <c r="D21" s="4" t="s">
        <v>1676</v>
      </c>
      <c r="E21" s="4" t="s">
        <v>1637</v>
      </c>
      <c r="F21" s="25" t="s">
        <v>1677</v>
      </c>
      <c r="G21" s="25" t="s">
        <v>1665</v>
      </c>
    </row>
    <row r="22" customFormat="false" ht="33" hidden="false" customHeight="true" outlineLevel="0" collapsed="false">
      <c r="A22" s="4" t="s">
        <v>1067</v>
      </c>
      <c r="B22" s="4" t="s">
        <v>1678</v>
      </c>
      <c r="C22" s="4" t="s">
        <v>1662</v>
      </c>
      <c r="D22" s="4" t="s">
        <v>1679</v>
      </c>
      <c r="E22" s="4" t="s">
        <v>1637</v>
      </c>
      <c r="F22" s="25" t="s">
        <v>1680</v>
      </c>
      <c r="G22" s="25" t="s">
        <v>1665</v>
      </c>
    </row>
    <row r="23" customFormat="false" ht="55.5" hidden="false" customHeight="true" outlineLevel="0" collapsed="false">
      <c r="A23" s="4" t="s">
        <v>1045</v>
      </c>
      <c r="B23" s="4" t="s">
        <v>1681</v>
      </c>
      <c r="C23" s="4" t="s">
        <v>1682</v>
      </c>
      <c r="D23" s="4" t="s">
        <v>1683</v>
      </c>
      <c r="E23" s="4" t="s">
        <v>1637</v>
      </c>
      <c r="F23" s="25" t="s">
        <v>1684</v>
      </c>
      <c r="G23" s="25" t="s">
        <v>1665</v>
      </c>
    </row>
    <row r="24" customFormat="false" ht="120.75" hidden="false" customHeight="true" outlineLevel="0" collapsed="false">
      <c r="A24" s="4" t="s">
        <v>989</v>
      </c>
      <c r="B24" s="4" t="s">
        <v>1685</v>
      </c>
      <c r="C24" s="4" t="s">
        <v>1686</v>
      </c>
      <c r="D24" s="25" t="s">
        <v>1117</v>
      </c>
      <c r="E24" s="4" t="s">
        <v>1626</v>
      </c>
      <c r="F24" s="25" t="s">
        <v>1124</v>
      </c>
      <c r="G24" s="25" t="s">
        <v>1129</v>
      </c>
    </row>
    <row r="25" customFormat="false" ht="133.5" hidden="false" customHeight="true" outlineLevel="0" collapsed="false">
      <c r="A25" s="4" t="s">
        <v>1082</v>
      </c>
      <c r="B25" s="4" t="s">
        <v>515</v>
      </c>
      <c r="C25" s="4" t="s">
        <v>1686</v>
      </c>
      <c r="D25" s="25" t="s">
        <v>1133</v>
      </c>
      <c r="E25" s="4" t="s">
        <v>1626</v>
      </c>
      <c r="F25" s="25" t="s">
        <v>1139</v>
      </c>
      <c r="G25" s="25" t="s">
        <v>1129</v>
      </c>
    </row>
    <row r="26" customFormat="false" ht="55.5" hidden="false" customHeight="true" outlineLevel="0" collapsed="false">
      <c r="A26" s="4" t="s">
        <v>1372</v>
      </c>
      <c r="B26" s="4" t="s">
        <v>1687</v>
      </c>
      <c r="C26" s="4" t="s">
        <v>1688</v>
      </c>
      <c r="D26" s="4" t="s">
        <v>1689</v>
      </c>
      <c r="E26" s="4" t="s">
        <v>1626</v>
      </c>
      <c r="F26" s="25" t="s">
        <v>1690</v>
      </c>
      <c r="G26" s="25" t="s">
        <v>1374</v>
      </c>
    </row>
    <row r="27" customFormat="false" ht="108" hidden="false" customHeight="true" outlineLevel="0" collapsed="false">
      <c r="A27" s="4" t="s">
        <v>1144</v>
      </c>
      <c r="B27" s="4" t="s">
        <v>1691</v>
      </c>
      <c r="C27" s="4" t="s">
        <v>1692</v>
      </c>
      <c r="D27" s="25" t="s">
        <v>1146</v>
      </c>
      <c r="E27" s="4" t="s">
        <v>1626</v>
      </c>
      <c r="F27" s="25" t="s">
        <v>1152</v>
      </c>
      <c r="G27" s="25" t="s">
        <v>1693</v>
      </c>
    </row>
    <row r="28" customFormat="false" ht="108" hidden="false" customHeight="true" outlineLevel="0" collapsed="false">
      <c r="A28" s="4" t="s">
        <v>1154</v>
      </c>
      <c r="B28" s="4" t="s">
        <v>1694</v>
      </c>
      <c r="C28" s="4" t="s">
        <v>1692</v>
      </c>
      <c r="D28" s="4" t="s">
        <v>1695</v>
      </c>
      <c r="E28" s="4" t="s">
        <v>1637</v>
      </c>
      <c r="F28" s="25" t="s">
        <v>1157</v>
      </c>
      <c r="G28" s="25" t="s">
        <v>1696</v>
      </c>
    </row>
    <row r="29" customFormat="false" ht="108" hidden="false" customHeight="true" outlineLevel="0" collapsed="false">
      <c r="A29" s="4" t="s">
        <v>1160</v>
      </c>
      <c r="B29" s="4" t="s">
        <v>1697</v>
      </c>
      <c r="C29" s="4" t="s">
        <v>1692</v>
      </c>
      <c r="D29" s="4" t="s">
        <v>1698</v>
      </c>
      <c r="E29" s="4" t="s">
        <v>1637</v>
      </c>
      <c r="F29" s="25" t="s">
        <v>1163</v>
      </c>
      <c r="G29" s="25" t="s">
        <v>1699</v>
      </c>
    </row>
    <row r="30" customFormat="false" ht="108" hidden="false" customHeight="true" outlineLevel="0" collapsed="false">
      <c r="A30" s="4" t="s">
        <v>1166</v>
      </c>
      <c r="B30" s="4" t="s">
        <v>1700</v>
      </c>
      <c r="C30" s="4" t="s">
        <v>1692</v>
      </c>
      <c r="D30" s="4" t="s">
        <v>1701</v>
      </c>
      <c r="E30" s="4" t="s">
        <v>1637</v>
      </c>
      <c r="F30" s="25" t="s">
        <v>1169</v>
      </c>
      <c r="G30" s="25" t="s">
        <v>1702</v>
      </c>
    </row>
    <row r="31" customFormat="false" ht="42.75" hidden="false" customHeight="true" outlineLevel="0" collapsed="false">
      <c r="A31" s="4" t="s">
        <v>929</v>
      </c>
      <c r="B31" s="4" t="s">
        <v>1703</v>
      </c>
      <c r="C31" s="4" t="s">
        <v>1704</v>
      </c>
      <c r="D31" s="4" t="s">
        <v>1705</v>
      </c>
      <c r="E31" s="4" t="s">
        <v>1637</v>
      </c>
      <c r="F31" s="25" t="s">
        <v>1706</v>
      </c>
      <c r="G31" s="25" t="s">
        <v>1503</v>
      </c>
    </row>
    <row r="32" customFormat="false" ht="30" hidden="false" customHeight="true" outlineLevel="0" collapsed="false">
      <c r="A32" s="25" t="s">
        <v>935</v>
      </c>
      <c r="B32" s="25" t="s">
        <v>17</v>
      </c>
      <c r="C32" s="25" t="s">
        <v>1628</v>
      </c>
      <c r="D32" s="25" t="s">
        <v>1707</v>
      </c>
      <c r="E32" s="25" t="s">
        <v>1626</v>
      </c>
      <c r="F32" s="25" t="s">
        <v>1708</v>
      </c>
      <c r="G32" s="25" t="s">
        <v>1503</v>
      </c>
    </row>
    <row r="33" customFormat="false" ht="30" hidden="false" customHeight="true" outlineLevel="0" collapsed="false">
      <c r="A33" s="25" t="s">
        <v>941</v>
      </c>
      <c r="B33" s="25" t="s">
        <v>45</v>
      </c>
      <c r="C33" s="25" t="s">
        <v>1628</v>
      </c>
      <c r="D33" s="25" t="s">
        <v>1709</v>
      </c>
      <c r="E33" s="25" t="s">
        <v>1637</v>
      </c>
      <c r="F33" s="25" t="s">
        <v>1710</v>
      </c>
      <c r="G33" s="25" t="s">
        <v>1503</v>
      </c>
    </row>
    <row r="34" customFormat="false" ht="30" hidden="false" customHeight="true" outlineLevel="0" collapsed="false">
      <c r="A34" s="25" t="s">
        <v>947</v>
      </c>
      <c r="B34" s="25" t="s">
        <v>51</v>
      </c>
      <c r="C34" s="25" t="s">
        <v>1628</v>
      </c>
      <c r="D34" s="25" t="s">
        <v>1711</v>
      </c>
      <c r="E34" s="25" t="s">
        <v>1637</v>
      </c>
      <c r="F34" s="25" t="s">
        <v>1712</v>
      </c>
      <c r="G34" s="25" t="s">
        <v>1503</v>
      </c>
    </row>
    <row r="35" customFormat="false" ht="30" hidden="false" customHeight="true" outlineLevel="0" collapsed="false">
      <c r="A35" s="25" t="s">
        <v>959</v>
      </c>
      <c r="B35" s="25" t="s">
        <v>89</v>
      </c>
      <c r="C35" s="25" t="s">
        <v>1628</v>
      </c>
      <c r="D35" s="25" t="s">
        <v>1713</v>
      </c>
      <c r="E35" s="25" t="s">
        <v>1626</v>
      </c>
      <c r="F35" s="25" t="s">
        <v>1714</v>
      </c>
      <c r="G35" s="25" t="s">
        <v>1503</v>
      </c>
    </row>
    <row r="36" customFormat="false" ht="30" hidden="false" customHeight="true" outlineLevel="0" collapsed="false">
      <c r="A36" s="25" t="s">
        <v>953</v>
      </c>
      <c r="B36" s="25" t="s">
        <v>84</v>
      </c>
      <c r="C36" s="25" t="s">
        <v>1643</v>
      </c>
      <c r="D36" s="25" t="s">
        <v>1715</v>
      </c>
      <c r="E36" s="25" t="s">
        <v>1637</v>
      </c>
      <c r="F36" s="25" t="s">
        <v>1638</v>
      </c>
      <c r="G36" s="25" t="s">
        <v>1503</v>
      </c>
    </row>
    <row r="37" customFormat="false" ht="30" hidden="false" customHeight="true" outlineLevel="0" collapsed="false">
      <c r="A37" s="25" t="s">
        <v>1716</v>
      </c>
      <c r="B37" s="25" t="s">
        <v>116</v>
      </c>
      <c r="C37" s="25" t="s">
        <v>1628</v>
      </c>
      <c r="D37" s="25" t="s">
        <v>1717</v>
      </c>
      <c r="E37" s="25" t="s">
        <v>1637</v>
      </c>
      <c r="F37" s="25" t="s">
        <v>1718</v>
      </c>
      <c r="G37" s="25" t="s">
        <v>1503</v>
      </c>
    </row>
    <row r="38" customFormat="false" ht="30" hidden="false" customHeight="true" outlineLevel="0" collapsed="false">
      <c r="A38" s="25" t="s">
        <v>974</v>
      </c>
      <c r="B38" s="25" t="s">
        <v>214</v>
      </c>
      <c r="C38" s="25" t="s">
        <v>1628</v>
      </c>
      <c r="D38" s="25" t="s">
        <v>1719</v>
      </c>
      <c r="E38" s="25" t="s">
        <v>1637</v>
      </c>
      <c r="F38" s="25" t="s">
        <v>1638</v>
      </c>
      <c r="G38" s="25" t="s">
        <v>1503</v>
      </c>
    </row>
    <row r="39" customFormat="false" ht="16.5" hidden="false" customHeight="true" outlineLevel="0" collapsed="false">
      <c r="A39" s="25" t="s">
        <v>980</v>
      </c>
      <c r="B39" s="25" t="s">
        <v>245</v>
      </c>
      <c r="C39" s="25" t="s">
        <v>1628</v>
      </c>
      <c r="D39" s="25" t="s">
        <v>1720</v>
      </c>
      <c r="E39" s="25" t="s">
        <v>1637</v>
      </c>
      <c r="F39" s="25" t="s">
        <v>1721</v>
      </c>
      <c r="G39" s="25" t="s">
        <v>1503</v>
      </c>
    </row>
    <row r="40" customFormat="false" ht="42.75" hidden="false" customHeight="true" outlineLevel="0" collapsed="false">
      <c r="A40" s="25" t="s">
        <v>969</v>
      </c>
      <c r="B40" s="25" t="s">
        <v>1722</v>
      </c>
      <c r="C40" s="25" t="s">
        <v>1628</v>
      </c>
      <c r="D40" s="25" t="s">
        <v>1723</v>
      </c>
      <c r="E40" s="25" t="s">
        <v>1626</v>
      </c>
      <c r="F40" s="25" t="s">
        <v>1724</v>
      </c>
      <c r="G40" s="25" t="s">
        <v>1503</v>
      </c>
    </row>
    <row r="41" customFormat="false" ht="30" hidden="false" customHeight="true" outlineLevel="0" collapsed="false">
      <c r="A41" s="25" t="s">
        <v>999</v>
      </c>
      <c r="B41" s="25" t="s">
        <v>261</v>
      </c>
      <c r="C41" s="25" t="s">
        <v>1628</v>
      </c>
      <c r="D41" s="25" t="s">
        <v>1725</v>
      </c>
      <c r="E41" s="25" t="s">
        <v>1626</v>
      </c>
      <c r="F41" s="25" t="s">
        <v>1726</v>
      </c>
      <c r="G41" s="25" t="s">
        <v>1503</v>
      </c>
    </row>
    <row r="42" customFormat="false" ht="30" hidden="false" customHeight="true" outlineLevel="0" collapsed="false">
      <c r="A42" s="25" t="s">
        <v>1005</v>
      </c>
      <c r="B42" s="25" t="s">
        <v>271</v>
      </c>
      <c r="C42" s="25" t="s">
        <v>1628</v>
      </c>
      <c r="D42" s="25" t="s">
        <v>1727</v>
      </c>
      <c r="E42" s="25" t="s">
        <v>1626</v>
      </c>
      <c r="F42" s="25" t="s">
        <v>1728</v>
      </c>
      <c r="G42" s="25" t="s">
        <v>1503</v>
      </c>
    </row>
    <row r="43" customFormat="false" ht="30" hidden="false" customHeight="true" outlineLevel="0" collapsed="false">
      <c r="A43" s="25" t="s">
        <v>1729</v>
      </c>
      <c r="B43" s="25" t="s">
        <v>282</v>
      </c>
      <c r="C43" s="25" t="s">
        <v>1628</v>
      </c>
      <c r="D43" s="25" t="s">
        <v>1730</v>
      </c>
      <c r="E43" s="25" t="s">
        <v>1626</v>
      </c>
      <c r="F43" s="25" t="s">
        <v>1731</v>
      </c>
      <c r="G43" s="25" t="s">
        <v>1503</v>
      </c>
    </row>
    <row r="44" customFormat="false" ht="30" hidden="false" customHeight="true" outlineLevel="0" collapsed="false">
      <c r="A44" s="25" t="s">
        <v>1017</v>
      </c>
      <c r="B44" s="25" t="s">
        <v>301</v>
      </c>
      <c r="C44" s="25" t="s">
        <v>1628</v>
      </c>
      <c r="D44" s="25" t="s">
        <v>1732</v>
      </c>
      <c r="E44" s="25" t="s">
        <v>1637</v>
      </c>
      <c r="F44" s="25" t="s">
        <v>1733</v>
      </c>
      <c r="G44" s="25" t="s">
        <v>1503</v>
      </c>
    </row>
    <row r="45" customFormat="false" ht="30" hidden="false" customHeight="true" outlineLevel="0" collapsed="false">
      <c r="A45" s="25" t="s">
        <v>1734</v>
      </c>
      <c r="B45" s="25" t="s">
        <v>305</v>
      </c>
      <c r="C45" s="25" t="s">
        <v>1628</v>
      </c>
      <c r="D45" s="25" t="s">
        <v>1735</v>
      </c>
      <c r="E45" s="25" t="s">
        <v>1637</v>
      </c>
      <c r="F45" s="25" t="s">
        <v>1736</v>
      </c>
      <c r="G45" s="25" t="s">
        <v>1503</v>
      </c>
    </row>
    <row r="46" customFormat="false" ht="30" hidden="false" customHeight="true" outlineLevel="0" collapsed="false">
      <c r="A46" s="25" t="s">
        <v>1027</v>
      </c>
      <c r="B46" s="25" t="s">
        <v>1737</v>
      </c>
      <c r="C46" s="25" t="s">
        <v>1628</v>
      </c>
      <c r="D46" s="25" t="s">
        <v>1738</v>
      </c>
      <c r="E46" s="25" t="s">
        <v>1637</v>
      </c>
      <c r="F46" s="25" t="s">
        <v>1739</v>
      </c>
      <c r="G46" s="25" t="s">
        <v>1503</v>
      </c>
    </row>
    <row r="47" customFormat="false" ht="16.5" hidden="false" customHeight="true" outlineLevel="0" collapsed="false">
      <c r="A47" s="25" t="s">
        <v>1034</v>
      </c>
      <c r="B47" s="25" t="s">
        <v>343</v>
      </c>
      <c r="C47" s="25" t="s">
        <v>1628</v>
      </c>
      <c r="D47" s="25" t="s">
        <v>1740</v>
      </c>
      <c r="E47" s="25" t="s">
        <v>1637</v>
      </c>
      <c r="F47" s="25" t="s">
        <v>1741</v>
      </c>
      <c r="G47" s="25" t="s">
        <v>1503</v>
      </c>
    </row>
    <row r="48" customFormat="false" ht="211.5" hidden="false" customHeight="true" outlineLevel="0" collapsed="false">
      <c r="A48" s="25" t="s">
        <v>1172</v>
      </c>
      <c r="B48" s="25" t="s">
        <v>1742</v>
      </c>
      <c r="C48" s="25" t="s">
        <v>1743</v>
      </c>
      <c r="D48" s="25" t="s">
        <v>1378</v>
      </c>
      <c r="E48" s="25" t="s">
        <v>1626</v>
      </c>
      <c r="F48" s="25" t="s">
        <v>1180</v>
      </c>
      <c r="G48" s="25" t="s">
        <v>1184</v>
      </c>
    </row>
    <row r="49" customFormat="false" ht="147" hidden="false" customHeight="true" outlineLevel="0" collapsed="false">
      <c r="A49" s="25" t="s">
        <v>1186</v>
      </c>
      <c r="B49" s="25" t="s">
        <v>1744</v>
      </c>
      <c r="C49" s="25" t="s">
        <v>1745</v>
      </c>
      <c r="D49" s="25" t="s">
        <v>1188</v>
      </c>
      <c r="E49" s="25" t="s">
        <v>1637</v>
      </c>
      <c r="F49" s="25" t="s">
        <v>1193</v>
      </c>
      <c r="G49" s="25" t="s">
        <v>1197</v>
      </c>
    </row>
    <row r="50" customFormat="false" ht="133.5" hidden="false" customHeight="true" outlineLevel="0" collapsed="false">
      <c r="A50" s="25" t="s">
        <v>1199</v>
      </c>
      <c r="B50" s="25" t="s">
        <v>1746</v>
      </c>
      <c r="C50" s="25" t="s">
        <v>1747</v>
      </c>
      <c r="D50" s="25" t="s">
        <v>1202</v>
      </c>
      <c r="E50" s="25" t="s">
        <v>1637</v>
      </c>
      <c r="F50" s="25" t="s">
        <v>1208</v>
      </c>
      <c r="G50" s="25" t="s">
        <v>1212</v>
      </c>
    </row>
    <row r="51" customFormat="false" ht="69" hidden="false" customHeight="true" outlineLevel="0" collapsed="false">
      <c r="A51" s="25" t="s">
        <v>1214</v>
      </c>
      <c r="B51" s="25" t="s">
        <v>1748</v>
      </c>
      <c r="C51" s="25" t="s">
        <v>1749</v>
      </c>
      <c r="D51" s="25" t="s">
        <v>1217</v>
      </c>
      <c r="E51" s="25" t="s">
        <v>1637</v>
      </c>
      <c r="F51" s="25" t="s">
        <v>1750</v>
      </c>
      <c r="G51" s="25" t="s">
        <v>1751</v>
      </c>
    </row>
    <row r="52" customFormat="false" ht="69" hidden="false" customHeight="true" outlineLevel="0" collapsed="false">
      <c r="A52" s="25" t="s">
        <v>1221</v>
      </c>
      <c r="B52" s="25" t="s">
        <v>1752</v>
      </c>
      <c r="C52" s="25" t="s">
        <v>1688</v>
      </c>
      <c r="D52" s="25" t="s">
        <v>1223</v>
      </c>
      <c r="E52" s="25" t="s">
        <v>1637</v>
      </c>
      <c r="F52" s="25" t="s">
        <v>1753</v>
      </c>
      <c r="G52" s="25" t="s">
        <v>1212</v>
      </c>
    </row>
    <row r="53" customFormat="false" ht="42.75" hidden="false" customHeight="true" outlineLevel="0" collapsed="false">
      <c r="A53" s="25" t="s">
        <v>1300</v>
      </c>
      <c r="B53" s="25" t="s">
        <v>186</v>
      </c>
      <c r="C53" s="25" t="s">
        <v>1649</v>
      </c>
      <c r="D53" s="25" t="s">
        <v>1383</v>
      </c>
      <c r="E53" s="25" t="s">
        <v>1637</v>
      </c>
      <c r="F53" s="25" t="s">
        <v>1754</v>
      </c>
      <c r="G53" s="25" t="s">
        <v>1503</v>
      </c>
    </row>
    <row r="54" customFormat="false" ht="30" hidden="false" customHeight="true" outlineLevel="0" collapsed="false">
      <c r="A54" s="25" t="s">
        <v>1304</v>
      </c>
      <c r="B54" s="25" t="s">
        <v>448</v>
      </c>
      <c r="C54" s="25" t="s">
        <v>1628</v>
      </c>
      <c r="D54" s="25" t="s">
        <v>1387</v>
      </c>
      <c r="E54" s="25" t="s">
        <v>1637</v>
      </c>
      <c r="F54" s="25" t="s">
        <v>1755</v>
      </c>
      <c r="G54" s="25" t="s">
        <v>1503</v>
      </c>
    </row>
    <row r="55" customFormat="false" ht="30" hidden="false" customHeight="true" outlineLevel="0" collapsed="false">
      <c r="A55" s="25" t="s">
        <v>1427</v>
      </c>
      <c r="B55" s="25" t="s">
        <v>1756</v>
      </c>
      <c r="C55" s="25" t="s">
        <v>1757</v>
      </c>
      <c r="D55" s="25" t="s">
        <v>1758</v>
      </c>
      <c r="E55" s="25" t="s">
        <v>1637</v>
      </c>
      <c r="F55" s="25" t="s">
        <v>1759</v>
      </c>
      <c r="G55" s="25" t="s">
        <v>1503</v>
      </c>
    </row>
    <row r="56" customFormat="false" ht="30" hidden="false" customHeight="true" outlineLevel="0" collapsed="false">
      <c r="A56" s="25" t="s">
        <v>1437</v>
      </c>
      <c r="B56" s="25" t="s">
        <v>1760</v>
      </c>
      <c r="C56" s="25" t="s">
        <v>1643</v>
      </c>
      <c r="D56" s="25" t="s">
        <v>1481</v>
      </c>
      <c r="E56" s="25" t="s">
        <v>1637</v>
      </c>
      <c r="F56" s="25" t="s">
        <v>1761</v>
      </c>
      <c r="G56" s="25" t="s">
        <v>1503</v>
      </c>
    </row>
    <row r="57" customFormat="false" ht="30" hidden="false" customHeight="true" outlineLevel="0" collapsed="false">
      <c r="A57" s="25" t="s">
        <v>1467</v>
      </c>
      <c r="B57" s="25" t="s">
        <v>1762</v>
      </c>
      <c r="C57" s="25" t="s">
        <v>1763</v>
      </c>
      <c r="D57" s="25" t="s">
        <v>1764</v>
      </c>
      <c r="E57" s="25" t="s">
        <v>1637</v>
      </c>
      <c r="F57" s="25" t="s">
        <v>1765</v>
      </c>
      <c r="G57" s="25" t="s">
        <v>1503</v>
      </c>
    </row>
    <row r="58" customFormat="false" ht="30" hidden="false" customHeight="true" outlineLevel="0" collapsed="false">
      <c r="A58" s="25" t="s">
        <v>1486</v>
      </c>
      <c r="B58" s="25" t="s">
        <v>1766</v>
      </c>
      <c r="C58" s="25" t="s">
        <v>1767</v>
      </c>
      <c r="D58" s="25" t="s">
        <v>1768</v>
      </c>
      <c r="E58" s="25" t="s">
        <v>1637</v>
      </c>
      <c r="F58" s="25" t="s">
        <v>1769</v>
      </c>
      <c r="G58" s="25" t="s">
        <v>1503</v>
      </c>
    </row>
    <row r="59" customFormat="false" ht="30" hidden="false" customHeight="true" outlineLevel="0" collapsed="false">
      <c r="A59" s="25" t="s">
        <v>1547</v>
      </c>
      <c r="B59" s="25" t="s">
        <v>1770</v>
      </c>
      <c r="C59" s="25" t="s">
        <v>1771</v>
      </c>
      <c r="D59" s="25" t="s">
        <v>1549</v>
      </c>
      <c r="E59" s="25" t="s">
        <v>1626</v>
      </c>
      <c r="F59" s="25" t="s">
        <v>1772</v>
      </c>
      <c r="G59" s="25" t="s">
        <v>1503</v>
      </c>
    </row>
    <row r="60" customFormat="false" ht="30" hidden="false" customHeight="true" outlineLevel="0" collapsed="false">
      <c r="A60" s="25" t="s">
        <v>1553</v>
      </c>
      <c r="B60" s="25" t="s">
        <v>1773</v>
      </c>
      <c r="C60" s="25" t="s">
        <v>1771</v>
      </c>
      <c r="D60" s="25" t="s">
        <v>1555</v>
      </c>
      <c r="E60" s="25" t="s">
        <v>1626</v>
      </c>
      <c r="F60" s="25" t="s">
        <v>1774</v>
      </c>
      <c r="G60" s="25" t="s">
        <v>1503</v>
      </c>
    </row>
    <row r="61" customFormat="false" ht="30" hidden="false" customHeight="true" outlineLevel="0" collapsed="false">
      <c r="A61" s="25" t="s">
        <v>1557</v>
      </c>
      <c r="B61" s="25" t="s">
        <v>1775</v>
      </c>
      <c r="C61" s="25" t="s">
        <v>1771</v>
      </c>
      <c r="D61" s="25" t="s">
        <v>1559</v>
      </c>
      <c r="E61" s="25" t="s">
        <v>1637</v>
      </c>
      <c r="F61" s="25" t="s">
        <v>1776</v>
      </c>
      <c r="G61" s="25" t="s">
        <v>1503</v>
      </c>
    </row>
    <row r="62" customFormat="false" ht="30" hidden="false" customHeight="true" outlineLevel="0" collapsed="false">
      <c r="A62" s="25" t="s">
        <v>1561</v>
      </c>
      <c r="B62" s="25" t="s">
        <v>1777</v>
      </c>
      <c r="C62" s="25" t="s">
        <v>1771</v>
      </c>
      <c r="D62" s="25" t="s">
        <v>1778</v>
      </c>
      <c r="E62" s="25" t="s">
        <v>1637</v>
      </c>
      <c r="F62" s="25" t="s">
        <v>1779</v>
      </c>
      <c r="G62" s="25" t="s">
        <v>1503</v>
      </c>
    </row>
    <row r="63" customFormat="false" ht="30" hidden="false" customHeight="true" outlineLevel="0" collapsed="false">
      <c r="A63" s="25" t="s">
        <v>1565</v>
      </c>
      <c r="B63" s="25" t="s">
        <v>1780</v>
      </c>
      <c r="C63" s="25" t="s">
        <v>1771</v>
      </c>
      <c r="D63" s="25" t="s">
        <v>1567</v>
      </c>
      <c r="E63" s="25" t="s">
        <v>1637</v>
      </c>
      <c r="F63" s="25" t="s">
        <v>1781</v>
      </c>
      <c r="G63" s="25" t="s">
        <v>1503</v>
      </c>
    </row>
    <row r="64" customFormat="false" ht="30" hidden="false" customHeight="true" outlineLevel="0" collapsed="false">
      <c r="A64" s="25" t="s">
        <v>1569</v>
      </c>
      <c r="B64" s="25" t="s">
        <v>1782</v>
      </c>
      <c r="C64" s="25" t="s">
        <v>1771</v>
      </c>
      <c r="D64" s="25" t="s">
        <v>1571</v>
      </c>
      <c r="E64" s="25" t="s">
        <v>1637</v>
      </c>
      <c r="F64" s="25" t="s">
        <v>1783</v>
      </c>
      <c r="G64" s="25" t="s">
        <v>1503</v>
      </c>
    </row>
    <row r="65" customFormat="false" ht="30" hidden="false" customHeight="true" outlineLevel="0" collapsed="false">
      <c r="A65" s="25" t="s">
        <v>1573</v>
      </c>
      <c r="B65" s="25" t="s">
        <v>1784</v>
      </c>
      <c r="C65" s="25" t="s">
        <v>1771</v>
      </c>
      <c r="D65" s="25" t="s">
        <v>1575</v>
      </c>
      <c r="E65" s="25" t="s">
        <v>1637</v>
      </c>
      <c r="F65" s="25" t="s">
        <v>1785</v>
      </c>
      <c r="G65" s="25" t="s">
        <v>1503</v>
      </c>
    </row>
    <row r="66" customFormat="false" ht="30" hidden="false" customHeight="true" outlineLevel="0" collapsed="false">
      <c r="A66" s="25" t="s">
        <v>1577</v>
      </c>
      <c r="B66" s="25" t="s">
        <v>1786</v>
      </c>
      <c r="C66" s="25" t="s">
        <v>1771</v>
      </c>
      <c r="D66" s="25" t="s">
        <v>1579</v>
      </c>
      <c r="E66" s="25" t="s">
        <v>1637</v>
      </c>
      <c r="F66" s="25" t="s">
        <v>1787</v>
      </c>
      <c r="G66" s="25" t="s">
        <v>1503</v>
      </c>
    </row>
    <row r="67" customFormat="false" ht="30" hidden="false" customHeight="true" outlineLevel="0" collapsed="false">
      <c r="A67" s="25" t="s">
        <v>1581</v>
      </c>
      <c r="B67" s="25" t="s">
        <v>1788</v>
      </c>
      <c r="C67" s="25" t="s">
        <v>1789</v>
      </c>
      <c r="D67" s="25" t="s">
        <v>1583</v>
      </c>
      <c r="E67" s="25" t="s">
        <v>1637</v>
      </c>
      <c r="F67" s="25" t="s">
        <v>1790</v>
      </c>
      <c r="G67" s="25" t="s">
        <v>1503</v>
      </c>
    </row>
    <row r="68" customFormat="false" ht="30" hidden="false" customHeight="true" outlineLevel="0" collapsed="false">
      <c r="A68" s="25" t="s">
        <v>1585</v>
      </c>
      <c r="B68" s="25" t="s">
        <v>1791</v>
      </c>
      <c r="C68" s="25" t="s">
        <v>1792</v>
      </c>
      <c r="D68" s="25" t="s">
        <v>1587</v>
      </c>
      <c r="E68" s="25" t="s">
        <v>1626</v>
      </c>
      <c r="F68" s="25" t="s">
        <v>1793</v>
      </c>
      <c r="G68" s="25" t="s">
        <v>1794</v>
      </c>
    </row>
    <row r="69" customFormat="false" ht="30" hidden="false" customHeight="true" outlineLevel="0" collapsed="false">
      <c r="A69" s="25" t="s">
        <v>1589</v>
      </c>
      <c r="B69" s="25" t="s">
        <v>1795</v>
      </c>
      <c r="C69" s="25" t="s">
        <v>1796</v>
      </c>
      <c r="D69" s="25" t="s">
        <v>1591</v>
      </c>
      <c r="E69" s="25" t="s">
        <v>1637</v>
      </c>
      <c r="F69" s="25" t="s">
        <v>1797</v>
      </c>
      <c r="G69" s="25" t="s">
        <v>1503</v>
      </c>
    </row>
    <row r="70" customFormat="false" ht="30" hidden="false" customHeight="true" outlineLevel="0" collapsed="false">
      <c r="A70" s="25" t="s">
        <v>1593</v>
      </c>
      <c r="B70" s="25" t="s">
        <v>1798</v>
      </c>
      <c r="C70" s="25" t="s">
        <v>1799</v>
      </c>
      <c r="D70" s="25" t="s">
        <v>1595</v>
      </c>
      <c r="E70" s="25" t="s">
        <v>1626</v>
      </c>
      <c r="F70" s="25" t="s">
        <v>1800</v>
      </c>
      <c r="G70" s="25" t="s">
        <v>1801</v>
      </c>
    </row>
  </sheetData>
  <autoFilter ref="A2:G31"/>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4" min="3" style="1" width="10"/>
    <col collapsed="false" customWidth="true" hidden="false" outlineLevel="0" max="5" min="5" style="1" width="52"/>
    <col collapsed="false" customWidth="true" hidden="false" outlineLevel="0" max="6" min="6" style="1" width="9"/>
    <col collapsed="false" customWidth="true" hidden="false" outlineLevel="0" max="7" min="7" style="1" width="22"/>
    <col collapsed="false" customWidth="true" hidden="false" outlineLevel="0" max="8" min="8" style="1" width="55"/>
    <col collapsed="false" customWidth="true" hidden="false" outlineLevel="0" max="9" min="9" style="1" width="48"/>
  </cols>
  <sheetData>
    <row r="1" customFormat="false" ht="30" hidden="false" customHeight="true" outlineLevel="0" collapsed="false">
      <c r="A1" s="2" t="s">
        <v>1225</v>
      </c>
      <c r="B1" s="2"/>
      <c r="C1" s="2"/>
      <c r="D1" s="2"/>
      <c r="E1" s="2"/>
      <c r="F1" s="2"/>
      <c r="G1" s="2"/>
      <c r="H1" s="2"/>
      <c r="I1" s="2"/>
    </row>
    <row r="2" customFormat="false" ht="30" hidden="false" customHeight="true" outlineLevel="0" collapsed="false">
      <c r="A2" s="3" t="s">
        <v>657</v>
      </c>
      <c r="B2" s="3" t="s">
        <v>1802</v>
      </c>
      <c r="C2" s="3" t="s">
        <v>658</v>
      </c>
      <c r="D2" s="3" t="s">
        <v>659</v>
      </c>
      <c r="E2" s="3" t="s">
        <v>1803</v>
      </c>
      <c r="F2" s="3" t="s">
        <v>1316</v>
      </c>
      <c r="G2" s="3" t="s">
        <v>1227</v>
      </c>
      <c r="H2" s="3" t="s">
        <v>1319</v>
      </c>
      <c r="I2" s="3" t="s">
        <v>1233</v>
      </c>
    </row>
    <row r="3" customFormat="false" ht="30" hidden="false" customHeight="true" outlineLevel="0" collapsed="false">
      <c r="A3" s="4" t="s">
        <v>661</v>
      </c>
      <c r="B3" s="4" t="s">
        <v>1804</v>
      </c>
      <c r="C3" s="4" t="s">
        <v>662</v>
      </c>
      <c r="D3" s="4" t="s">
        <v>663</v>
      </c>
      <c r="E3" s="4" t="s">
        <v>664</v>
      </c>
      <c r="F3" s="4" t="n">
        <v>3</v>
      </c>
      <c r="G3" s="25" t="s">
        <v>1228</v>
      </c>
      <c r="H3" s="25" t="s">
        <v>1805</v>
      </c>
      <c r="I3" s="25" t="s">
        <v>1449</v>
      </c>
    </row>
    <row r="4" customFormat="false" ht="19.5" hidden="false" customHeight="true" outlineLevel="0" collapsed="false">
      <c r="A4" s="4" t="s">
        <v>24</v>
      </c>
      <c r="B4" s="4" t="s">
        <v>1806</v>
      </c>
      <c r="C4" s="4" t="s">
        <v>662</v>
      </c>
      <c r="D4" s="4" t="s">
        <v>663</v>
      </c>
      <c r="E4" s="4" t="s">
        <v>665</v>
      </c>
      <c r="F4" s="4" t="n">
        <v>2</v>
      </c>
      <c r="G4" s="4" t="s">
        <v>1440</v>
      </c>
      <c r="H4" s="4" t="s">
        <v>1444</v>
      </c>
      <c r="I4" s="4" t="s">
        <v>1448</v>
      </c>
    </row>
    <row r="5" customFormat="false" ht="55.5" hidden="false" customHeight="true" outlineLevel="0" collapsed="false">
      <c r="A5" s="4" t="s">
        <v>32</v>
      </c>
      <c r="B5" s="4" t="s">
        <v>1807</v>
      </c>
      <c r="C5" s="4" t="s">
        <v>662</v>
      </c>
      <c r="D5" s="4" t="s">
        <v>663</v>
      </c>
      <c r="E5" s="4" t="s">
        <v>666</v>
      </c>
      <c r="F5" s="4" t="n">
        <v>10</v>
      </c>
      <c r="G5" s="25" t="s">
        <v>1228</v>
      </c>
      <c r="H5" s="25" t="s">
        <v>1370</v>
      </c>
      <c r="I5" s="25" t="s">
        <v>1808</v>
      </c>
    </row>
    <row r="6" customFormat="false" ht="19.5" hidden="false" customHeight="true" outlineLevel="0" collapsed="false">
      <c r="A6" s="4" t="s">
        <v>43</v>
      </c>
      <c r="B6" s="4" t="s">
        <v>1809</v>
      </c>
      <c r="C6" s="4" t="s">
        <v>662</v>
      </c>
      <c r="D6" s="4" t="s">
        <v>663</v>
      </c>
      <c r="E6" s="4" t="s">
        <v>667</v>
      </c>
      <c r="F6" s="4" t="n">
        <v>3</v>
      </c>
      <c r="G6" s="4" t="s">
        <v>1440</v>
      </c>
      <c r="H6" s="4" t="s">
        <v>1444</v>
      </c>
      <c r="I6" s="4" t="s">
        <v>1448</v>
      </c>
    </row>
    <row r="7" customFormat="false" ht="19.5" hidden="false" customHeight="true" outlineLevel="0" collapsed="false">
      <c r="A7" s="4" t="s">
        <v>668</v>
      </c>
      <c r="B7" s="4" t="s">
        <v>1810</v>
      </c>
      <c r="C7" s="4" t="s">
        <v>662</v>
      </c>
      <c r="D7" s="4" t="s">
        <v>663</v>
      </c>
      <c r="E7" s="4" t="s">
        <v>669</v>
      </c>
      <c r="F7" s="4" t="n">
        <v>2</v>
      </c>
      <c r="G7" s="25" t="s">
        <v>1228</v>
      </c>
      <c r="H7" s="25" t="s">
        <v>1326</v>
      </c>
      <c r="I7" s="25" t="s">
        <v>1449</v>
      </c>
    </row>
    <row r="8" customFormat="false" ht="33" hidden="false" customHeight="true" outlineLevel="0" collapsed="false">
      <c r="A8" s="4" t="s">
        <v>54</v>
      </c>
      <c r="B8" s="4" t="s">
        <v>1811</v>
      </c>
      <c r="C8" s="4" t="s">
        <v>662</v>
      </c>
      <c r="D8" s="4" t="s">
        <v>663</v>
      </c>
      <c r="E8" s="4" t="s">
        <v>670</v>
      </c>
      <c r="F8" s="4" t="n">
        <v>4</v>
      </c>
      <c r="G8" s="25" t="s">
        <v>1228</v>
      </c>
      <c r="H8" s="25" t="s">
        <v>1812</v>
      </c>
      <c r="I8" s="25" t="s">
        <v>1449</v>
      </c>
    </row>
    <row r="9" customFormat="false" ht="19.5" hidden="false" customHeight="true" outlineLevel="0" collapsed="false">
      <c r="A9" s="4" t="s">
        <v>671</v>
      </c>
      <c r="B9" s="4" t="s">
        <v>1813</v>
      </c>
      <c r="C9" s="4" t="s">
        <v>662</v>
      </c>
      <c r="D9" s="4" t="s">
        <v>663</v>
      </c>
      <c r="E9" s="4" t="s">
        <v>672</v>
      </c>
      <c r="F9" s="4" t="n">
        <v>3</v>
      </c>
      <c r="G9" s="4" t="s">
        <v>1440</v>
      </c>
      <c r="H9" s="4" t="s">
        <v>1444</v>
      </c>
      <c r="I9" s="4" t="s">
        <v>1448</v>
      </c>
    </row>
    <row r="10" customFormat="false" ht="19.5" hidden="false" customHeight="true" outlineLevel="0" collapsed="false">
      <c r="A10" s="4" t="s">
        <v>673</v>
      </c>
      <c r="B10" s="4" t="s">
        <v>1814</v>
      </c>
      <c r="C10" s="4" t="s">
        <v>662</v>
      </c>
      <c r="D10" s="4" t="s">
        <v>663</v>
      </c>
      <c r="E10" s="4" t="s">
        <v>674</v>
      </c>
      <c r="F10" s="4" t="n">
        <v>2</v>
      </c>
      <c r="G10" s="4" t="s">
        <v>1440</v>
      </c>
      <c r="H10" s="4" t="s">
        <v>1444</v>
      </c>
      <c r="I10" s="4" t="s">
        <v>1448</v>
      </c>
    </row>
    <row r="11" customFormat="false" ht="19.5" hidden="false" customHeight="true" outlineLevel="0" collapsed="false">
      <c r="A11" s="4" t="s">
        <v>81</v>
      </c>
      <c r="B11" s="4" t="s">
        <v>1815</v>
      </c>
      <c r="C11" s="4" t="s">
        <v>662</v>
      </c>
      <c r="D11" s="4" t="s">
        <v>663</v>
      </c>
      <c r="E11" s="4" t="s">
        <v>675</v>
      </c>
      <c r="F11" s="4" t="n">
        <v>7</v>
      </c>
      <c r="G11" s="25" t="s">
        <v>1228</v>
      </c>
      <c r="H11" s="25" t="s">
        <v>1816</v>
      </c>
      <c r="I11" s="25" t="s">
        <v>1449</v>
      </c>
    </row>
    <row r="12" customFormat="false" ht="30" hidden="false" customHeight="true" outlineLevel="0" collapsed="false">
      <c r="A12" s="4" t="s">
        <v>92</v>
      </c>
      <c r="B12" s="4" t="s">
        <v>1817</v>
      </c>
      <c r="C12" s="4" t="s">
        <v>662</v>
      </c>
      <c r="D12" s="4" t="s">
        <v>663</v>
      </c>
      <c r="E12" s="4" t="s">
        <v>676</v>
      </c>
      <c r="F12" s="4" t="n">
        <v>2</v>
      </c>
      <c r="G12" s="4" t="s">
        <v>1228</v>
      </c>
      <c r="H12" s="25" t="s">
        <v>1818</v>
      </c>
      <c r="I12" s="4" t="s">
        <v>1449</v>
      </c>
    </row>
    <row r="13" customFormat="false" ht="33" hidden="false" customHeight="true" outlineLevel="0" collapsed="false">
      <c r="A13" s="4" t="s">
        <v>102</v>
      </c>
      <c r="B13" s="4" t="s">
        <v>1819</v>
      </c>
      <c r="C13" s="4" t="s">
        <v>662</v>
      </c>
      <c r="D13" s="4" t="s">
        <v>663</v>
      </c>
      <c r="E13" s="4" t="s">
        <v>677</v>
      </c>
      <c r="F13" s="4" t="n">
        <v>2</v>
      </c>
      <c r="G13" s="4" t="s">
        <v>1228</v>
      </c>
      <c r="H13" s="25" t="s">
        <v>1820</v>
      </c>
      <c r="I13" s="4" t="s">
        <v>1449</v>
      </c>
    </row>
    <row r="14" customFormat="false" ht="19.5" hidden="false" customHeight="true" outlineLevel="0" collapsed="false">
      <c r="A14" s="4" t="s">
        <v>108</v>
      </c>
      <c r="B14" s="4" t="s">
        <v>1821</v>
      </c>
      <c r="C14" s="4" t="s">
        <v>662</v>
      </c>
      <c r="D14" s="4" t="s">
        <v>663</v>
      </c>
      <c r="E14" s="4" t="s">
        <v>105</v>
      </c>
      <c r="F14" s="4" t="n">
        <v>1</v>
      </c>
      <c r="G14" s="4" t="s">
        <v>1440</v>
      </c>
      <c r="H14" s="4" t="s">
        <v>1444</v>
      </c>
      <c r="I14" s="4" t="s">
        <v>1448</v>
      </c>
    </row>
    <row r="15" customFormat="false" ht="42.75" hidden="false" customHeight="true" outlineLevel="0" collapsed="false">
      <c r="A15" s="4" t="s">
        <v>678</v>
      </c>
      <c r="B15" s="4" t="s">
        <v>1822</v>
      </c>
      <c r="C15" s="4" t="s">
        <v>662</v>
      </c>
      <c r="D15" s="4" t="s">
        <v>679</v>
      </c>
      <c r="E15" s="4" t="s">
        <v>680</v>
      </c>
      <c r="F15" s="4" t="n">
        <v>3</v>
      </c>
      <c r="G15" s="4" t="s">
        <v>1229</v>
      </c>
      <c r="H15" s="25" t="s">
        <v>1823</v>
      </c>
      <c r="I15" s="25" t="s">
        <v>1270</v>
      </c>
    </row>
    <row r="16" customFormat="false" ht="33" hidden="false" customHeight="true" outlineLevel="0" collapsed="false">
      <c r="A16" s="4" t="s">
        <v>681</v>
      </c>
      <c r="B16" s="4" t="s">
        <v>1824</v>
      </c>
      <c r="C16" s="4" t="s">
        <v>662</v>
      </c>
      <c r="D16" s="4" t="s">
        <v>679</v>
      </c>
      <c r="E16" s="4" t="s">
        <v>682</v>
      </c>
      <c r="F16" s="4" t="n">
        <v>2</v>
      </c>
      <c r="G16" s="4" t="s">
        <v>1229</v>
      </c>
      <c r="H16" s="25" t="s">
        <v>1825</v>
      </c>
      <c r="I16" s="25" t="s">
        <v>1277</v>
      </c>
    </row>
    <row r="17" customFormat="false" ht="42.75" hidden="false" customHeight="true" outlineLevel="0" collapsed="false">
      <c r="A17" s="4" t="s">
        <v>683</v>
      </c>
      <c r="B17" s="4" t="s">
        <v>1826</v>
      </c>
      <c r="C17" s="4" t="s">
        <v>662</v>
      </c>
      <c r="D17" s="4" t="s">
        <v>679</v>
      </c>
      <c r="E17" s="4" t="s">
        <v>684</v>
      </c>
      <c r="F17" s="4" t="n">
        <v>2</v>
      </c>
      <c r="G17" s="4" t="s">
        <v>1827</v>
      </c>
      <c r="H17" s="25" t="s">
        <v>1352</v>
      </c>
      <c r="I17" s="4" t="s">
        <v>1448</v>
      </c>
    </row>
    <row r="18" customFormat="false" ht="19.5" hidden="false" customHeight="true" outlineLevel="0" collapsed="false">
      <c r="A18" s="4" t="s">
        <v>200</v>
      </c>
      <c r="B18" s="4" t="s">
        <v>1828</v>
      </c>
      <c r="C18" s="4" t="s">
        <v>662</v>
      </c>
      <c r="D18" s="4" t="s">
        <v>663</v>
      </c>
      <c r="E18" s="4" t="s">
        <v>685</v>
      </c>
      <c r="F18" s="4" t="n">
        <v>3</v>
      </c>
      <c r="G18" s="25" t="s">
        <v>1228</v>
      </c>
      <c r="H18" s="25" t="s">
        <v>1459</v>
      </c>
      <c r="I18" s="25" t="s">
        <v>1449</v>
      </c>
    </row>
    <row r="19" customFormat="false" ht="19.5" hidden="false" customHeight="true" outlineLevel="0" collapsed="false">
      <c r="A19" s="4" t="s">
        <v>206</v>
      </c>
      <c r="B19" s="4" t="s">
        <v>1829</v>
      </c>
      <c r="C19" s="4" t="s">
        <v>662</v>
      </c>
      <c r="D19" s="4" t="s">
        <v>663</v>
      </c>
      <c r="E19" s="4" t="s">
        <v>686</v>
      </c>
      <c r="F19" s="4" t="n">
        <v>5</v>
      </c>
      <c r="G19" s="25" t="s">
        <v>1228</v>
      </c>
      <c r="H19" s="25" t="s">
        <v>1830</v>
      </c>
      <c r="I19" s="25" t="s">
        <v>1449</v>
      </c>
    </row>
    <row r="20" customFormat="false" ht="19.5" hidden="false" customHeight="true" outlineLevel="0" collapsed="false">
      <c r="A20" s="4" t="s">
        <v>212</v>
      </c>
      <c r="B20" s="4" t="s">
        <v>1831</v>
      </c>
      <c r="C20" s="4" t="s">
        <v>662</v>
      </c>
      <c r="D20" s="4" t="s">
        <v>663</v>
      </c>
      <c r="E20" s="4" t="s">
        <v>687</v>
      </c>
      <c r="F20" s="4" t="n">
        <v>5</v>
      </c>
      <c r="G20" s="25" t="s">
        <v>1228</v>
      </c>
      <c r="H20" s="25" t="s">
        <v>1832</v>
      </c>
      <c r="I20" s="25" t="s">
        <v>1449</v>
      </c>
    </row>
    <row r="21" customFormat="false" ht="19.5" hidden="false" customHeight="true" outlineLevel="0" collapsed="false">
      <c r="A21" s="4" t="s">
        <v>221</v>
      </c>
      <c r="B21" s="4" t="s">
        <v>1833</v>
      </c>
      <c r="C21" s="4" t="s">
        <v>662</v>
      </c>
      <c r="D21" s="4" t="s">
        <v>663</v>
      </c>
      <c r="E21" s="4" t="s">
        <v>688</v>
      </c>
      <c r="F21" s="4" t="n">
        <v>2</v>
      </c>
      <c r="G21" s="4" t="s">
        <v>1440</v>
      </c>
      <c r="H21" s="4" t="s">
        <v>1444</v>
      </c>
      <c r="I21" s="4" t="s">
        <v>1448</v>
      </c>
    </row>
    <row r="22" customFormat="false" ht="19.5" hidden="false" customHeight="true" outlineLevel="0" collapsed="false">
      <c r="A22" s="4" t="s">
        <v>227</v>
      </c>
      <c r="B22" s="4" t="s">
        <v>1834</v>
      </c>
      <c r="C22" s="4" t="s">
        <v>662</v>
      </c>
      <c r="D22" s="4" t="s">
        <v>663</v>
      </c>
      <c r="E22" s="4" t="s">
        <v>689</v>
      </c>
      <c r="F22" s="4" t="n">
        <v>6</v>
      </c>
      <c r="G22" s="4" t="s">
        <v>1440</v>
      </c>
      <c r="H22" s="4" t="s">
        <v>1444</v>
      </c>
      <c r="I22" s="4" t="s">
        <v>1448</v>
      </c>
    </row>
    <row r="23" customFormat="false" ht="19.5" hidden="false" customHeight="true" outlineLevel="0" collapsed="false">
      <c r="A23" s="4" t="s">
        <v>238</v>
      </c>
      <c r="B23" s="4" t="s">
        <v>1835</v>
      </c>
      <c r="C23" s="4" t="s">
        <v>662</v>
      </c>
      <c r="D23" s="4" t="s">
        <v>663</v>
      </c>
      <c r="E23" s="4" t="s">
        <v>235</v>
      </c>
      <c r="F23" s="4" t="n">
        <v>1</v>
      </c>
      <c r="G23" s="4" t="s">
        <v>1440</v>
      </c>
      <c r="H23" s="4" t="s">
        <v>1444</v>
      </c>
      <c r="I23" s="4" t="s">
        <v>1448</v>
      </c>
    </row>
    <row r="24" customFormat="false" ht="19.5" hidden="false" customHeight="true" outlineLevel="0" collapsed="false">
      <c r="A24" s="4" t="s">
        <v>242</v>
      </c>
      <c r="B24" s="4" t="s">
        <v>1836</v>
      </c>
      <c r="C24" s="4" t="s">
        <v>662</v>
      </c>
      <c r="D24" s="4" t="s">
        <v>663</v>
      </c>
      <c r="E24" s="4" t="s">
        <v>690</v>
      </c>
      <c r="F24" s="4" t="n">
        <v>4</v>
      </c>
      <c r="G24" s="4" t="s">
        <v>1440</v>
      </c>
      <c r="H24" s="4" t="s">
        <v>1444</v>
      </c>
      <c r="I24" s="4" t="s">
        <v>1448</v>
      </c>
    </row>
    <row r="25" customFormat="false" ht="19.5" hidden="false" customHeight="true" outlineLevel="0" collapsed="false">
      <c r="A25" s="4" t="s">
        <v>248</v>
      </c>
      <c r="B25" s="4" t="s">
        <v>1837</v>
      </c>
      <c r="C25" s="4" t="s">
        <v>662</v>
      </c>
      <c r="D25" s="4" t="s">
        <v>663</v>
      </c>
      <c r="E25" s="4" t="s">
        <v>691</v>
      </c>
      <c r="F25" s="4" t="n">
        <v>2</v>
      </c>
      <c r="G25" s="25" t="s">
        <v>1228</v>
      </c>
      <c r="H25" s="25" t="s">
        <v>1838</v>
      </c>
      <c r="I25" s="25" t="s">
        <v>1449</v>
      </c>
    </row>
    <row r="26" customFormat="false" ht="81.75" hidden="false" customHeight="true" outlineLevel="0" collapsed="false">
      <c r="A26" s="4" t="s">
        <v>253</v>
      </c>
      <c r="B26" s="4" t="s">
        <v>1839</v>
      </c>
      <c r="C26" s="4" t="s">
        <v>662</v>
      </c>
      <c r="D26" s="4" t="s">
        <v>663</v>
      </c>
      <c r="E26" s="4" t="s">
        <v>692</v>
      </c>
      <c r="F26" s="4" t="n">
        <v>9</v>
      </c>
      <c r="G26" s="25" t="s">
        <v>1229</v>
      </c>
      <c r="H26" s="25" t="s">
        <v>1339</v>
      </c>
      <c r="I26" s="25" t="s">
        <v>1235</v>
      </c>
    </row>
    <row r="27" customFormat="false" ht="55.5" hidden="false" customHeight="true" outlineLevel="0" collapsed="false">
      <c r="A27" s="4" t="s">
        <v>270</v>
      </c>
      <c r="B27" s="4" t="s">
        <v>1840</v>
      </c>
      <c r="C27" s="4" t="s">
        <v>662</v>
      </c>
      <c r="D27" s="4" t="s">
        <v>663</v>
      </c>
      <c r="E27" s="4" t="s">
        <v>693</v>
      </c>
      <c r="F27" s="4" t="n">
        <v>8</v>
      </c>
      <c r="G27" s="4" t="s">
        <v>1228</v>
      </c>
      <c r="H27" s="25" t="s">
        <v>1344</v>
      </c>
      <c r="I27" s="4" t="s">
        <v>1449</v>
      </c>
    </row>
    <row r="28" customFormat="false" ht="19.5" hidden="false" customHeight="true" outlineLevel="0" collapsed="false">
      <c r="A28" s="4" t="s">
        <v>274</v>
      </c>
      <c r="B28" s="4" t="s">
        <v>1841</v>
      </c>
      <c r="C28" s="4" t="s">
        <v>662</v>
      </c>
      <c r="D28" s="4" t="s">
        <v>663</v>
      </c>
      <c r="E28" s="4" t="s">
        <v>694</v>
      </c>
      <c r="F28" s="4" t="n">
        <v>2</v>
      </c>
      <c r="G28" s="25" t="s">
        <v>1228</v>
      </c>
      <c r="H28" s="25" t="s">
        <v>1842</v>
      </c>
      <c r="I28" s="25" t="s">
        <v>1449</v>
      </c>
    </row>
    <row r="29" customFormat="false" ht="19.5" hidden="false" customHeight="true" outlineLevel="0" collapsed="false">
      <c r="A29" s="4" t="s">
        <v>279</v>
      </c>
      <c r="B29" s="4" t="s">
        <v>1843</v>
      </c>
      <c r="C29" s="4" t="s">
        <v>662</v>
      </c>
      <c r="D29" s="4" t="s">
        <v>663</v>
      </c>
      <c r="E29" s="4" t="s">
        <v>276</v>
      </c>
      <c r="F29" s="4" t="n">
        <v>1</v>
      </c>
      <c r="G29" s="4" t="s">
        <v>1440</v>
      </c>
      <c r="H29" s="4" t="s">
        <v>1444</v>
      </c>
      <c r="I29" s="4" t="s">
        <v>1448</v>
      </c>
    </row>
    <row r="30" customFormat="false" ht="19.5" hidden="false" customHeight="true" outlineLevel="0" collapsed="false">
      <c r="A30" s="4" t="s">
        <v>285</v>
      </c>
      <c r="B30" s="4" t="s">
        <v>1844</v>
      </c>
      <c r="C30" s="4" t="s">
        <v>662</v>
      </c>
      <c r="D30" s="4" t="s">
        <v>663</v>
      </c>
      <c r="E30" s="4" t="s">
        <v>695</v>
      </c>
      <c r="F30" s="4" t="n">
        <v>2</v>
      </c>
      <c r="G30" s="25" t="s">
        <v>1228</v>
      </c>
      <c r="H30" s="25" t="s">
        <v>1845</v>
      </c>
      <c r="I30" s="25" t="s">
        <v>1449</v>
      </c>
    </row>
    <row r="31" customFormat="false" ht="19.5" hidden="false" customHeight="true" outlineLevel="0" collapsed="false">
      <c r="A31" s="4" t="s">
        <v>289</v>
      </c>
      <c r="B31" s="4" t="s">
        <v>1846</v>
      </c>
      <c r="C31" s="4" t="s">
        <v>662</v>
      </c>
      <c r="D31" s="4" t="s">
        <v>663</v>
      </c>
      <c r="E31" s="4" t="s">
        <v>696</v>
      </c>
      <c r="F31" s="4" t="n">
        <v>2</v>
      </c>
      <c r="G31" s="25" t="s">
        <v>1228</v>
      </c>
      <c r="H31" s="25" t="s">
        <v>1445</v>
      </c>
      <c r="I31" s="25" t="s">
        <v>1449</v>
      </c>
    </row>
    <row r="32" customFormat="false" ht="19.5" hidden="false" customHeight="true" outlineLevel="0" collapsed="false">
      <c r="A32" s="4" t="s">
        <v>294</v>
      </c>
      <c r="B32" s="4" t="s">
        <v>1847</v>
      </c>
      <c r="C32" s="4" t="s">
        <v>662</v>
      </c>
      <c r="D32" s="4" t="s">
        <v>663</v>
      </c>
      <c r="E32" s="4" t="s">
        <v>697</v>
      </c>
      <c r="F32" s="4" t="n">
        <v>3</v>
      </c>
      <c r="G32" s="4" t="s">
        <v>1228</v>
      </c>
      <c r="H32" s="25" t="s">
        <v>1453</v>
      </c>
      <c r="I32" s="4" t="s">
        <v>1449</v>
      </c>
    </row>
    <row r="33" customFormat="false" ht="19.5" hidden="false" customHeight="true" outlineLevel="0" collapsed="false">
      <c r="A33" s="4" t="s">
        <v>299</v>
      </c>
      <c r="B33" s="4" t="s">
        <v>1848</v>
      </c>
      <c r="C33" s="4" t="s">
        <v>662</v>
      </c>
      <c r="D33" s="4" t="s">
        <v>663</v>
      </c>
      <c r="E33" s="4" t="s">
        <v>296</v>
      </c>
      <c r="F33" s="4" t="n">
        <v>1</v>
      </c>
      <c r="G33" s="4" t="s">
        <v>1440</v>
      </c>
      <c r="H33" s="4" t="s">
        <v>1444</v>
      </c>
      <c r="I33" s="4" t="s">
        <v>1448</v>
      </c>
    </row>
    <row r="34" customFormat="false" ht="42.75" hidden="false" customHeight="true" outlineLevel="0" collapsed="false">
      <c r="A34" s="4" t="s">
        <v>304</v>
      </c>
      <c r="B34" s="4" t="s">
        <v>1849</v>
      </c>
      <c r="C34" s="4" t="s">
        <v>662</v>
      </c>
      <c r="D34" s="4" t="s">
        <v>663</v>
      </c>
      <c r="E34" s="4" t="s">
        <v>698</v>
      </c>
      <c r="F34" s="4" t="n">
        <v>3</v>
      </c>
      <c r="G34" s="25" t="s">
        <v>1228</v>
      </c>
      <c r="H34" s="25" t="s">
        <v>1335</v>
      </c>
      <c r="I34" s="25" t="s">
        <v>1449</v>
      </c>
    </row>
    <row r="35" customFormat="false" ht="55.5" hidden="false" customHeight="true" outlineLevel="0" collapsed="false">
      <c r="A35" s="4" t="s">
        <v>308</v>
      </c>
      <c r="B35" s="4" t="s">
        <v>1850</v>
      </c>
      <c r="C35" s="4" t="s">
        <v>662</v>
      </c>
      <c r="D35" s="4" t="s">
        <v>663</v>
      </c>
      <c r="E35" s="25" t="s">
        <v>699</v>
      </c>
      <c r="F35" s="25" t="n">
        <v>7</v>
      </c>
      <c r="G35" s="25" t="s">
        <v>1228</v>
      </c>
      <c r="H35" s="25" t="s">
        <v>1321</v>
      </c>
      <c r="I35" s="25" t="s">
        <v>1449</v>
      </c>
    </row>
    <row r="36" customFormat="false" ht="42.75" hidden="false" customHeight="true" outlineLevel="0" collapsed="false">
      <c r="A36" s="4" t="s">
        <v>700</v>
      </c>
      <c r="B36" s="4" t="s">
        <v>1851</v>
      </c>
      <c r="C36" s="4" t="s">
        <v>662</v>
      </c>
      <c r="D36" s="4" t="s">
        <v>679</v>
      </c>
      <c r="E36" s="4" t="s">
        <v>311</v>
      </c>
      <c r="F36" s="4" t="n">
        <v>1</v>
      </c>
      <c r="G36" s="4" t="s">
        <v>1229</v>
      </c>
      <c r="H36" s="25" t="s">
        <v>1852</v>
      </c>
      <c r="I36" s="25" t="s">
        <v>1291</v>
      </c>
    </row>
    <row r="37" customFormat="false" ht="30" hidden="false" customHeight="true" outlineLevel="0" collapsed="false">
      <c r="A37" s="4" t="s">
        <v>701</v>
      </c>
      <c r="B37" s="4" t="s">
        <v>1853</v>
      </c>
      <c r="C37" s="4" t="s">
        <v>662</v>
      </c>
      <c r="D37" s="4" t="s">
        <v>679</v>
      </c>
      <c r="E37" s="4" t="s">
        <v>702</v>
      </c>
      <c r="F37" s="4" t="n">
        <v>2</v>
      </c>
      <c r="G37" s="4" t="s">
        <v>1827</v>
      </c>
      <c r="H37" s="25" t="s">
        <v>1356</v>
      </c>
      <c r="I37" s="4" t="s">
        <v>1448</v>
      </c>
    </row>
    <row r="38" customFormat="false" ht="19.5" hidden="false" customHeight="true" outlineLevel="0" collapsed="false">
      <c r="A38" s="4" t="s">
        <v>396</v>
      </c>
      <c r="B38" s="4" t="s">
        <v>1854</v>
      </c>
      <c r="C38" s="4" t="s">
        <v>662</v>
      </c>
      <c r="D38" s="4" t="s">
        <v>663</v>
      </c>
      <c r="E38" s="4" t="s">
        <v>703</v>
      </c>
      <c r="F38" s="4" t="n">
        <v>3</v>
      </c>
      <c r="G38" s="4" t="s">
        <v>1440</v>
      </c>
      <c r="H38" s="4" t="s">
        <v>1444</v>
      </c>
      <c r="I38" s="4" t="s">
        <v>1448</v>
      </c>
    </row>
    <row r="39" customFormat="false" ht="42.75" hidden="false" customHeight="true" outlineLevel="0" collapsed="false">
      <c r="A39" s="4" t="s">
        <v>402</v>
      </c>
      <c r="B39" s="4" t="s">
        <v>1855</v>
      </c>
      <c r="C39" s="4" t="s">
        <v>662</v>
      </c>
      <c r="D39" s="4" t="s">
        <v>663</v>
      </c>
      <c r="E39" s="25" t="s">
        <v>704</v>
      </c>
      <c r="F39" s="25" t="n">
        <v>5</v>
      </c>
      <c r="G39" s="25" t="s">
        <v>1228</v>
      </c>
      <c r="H39" s="25" t="s">
        <v>1461</v>
      </c>
      <c r="I39" s="25" t="s">
        <v>1449</v>
      </c>
    </row>
    <row r="40" customFormat="false" ht="42.75" hidden="false" customHeight="true" outlineLevel="0" collapsed="false">
      <c r="A40" s="4" t="s">
        <v>412</v>
      </c>
      <c r="B40" s="4" t="s">
        <v>1856</v>
      </c>
      <c r="C40" s="4" t="s">
        <v>662</v>
      </c>
      <c r="D40" s="4" t="s">
        <v>663</v>
      </c>
      <c r="E40" s="4" t="s">
        <v>705</v>
      </c>
      <c r="F40" s="4" t="n">
        <v>5</v>
      </c>
      <c r="G40" s="25" t="s">
        <v>1229</v>
      </c>
      <c r="H40" s="25" t="s">
        <v>1857</v>
      </c>
      <c r="I40" s="25" t="s">
        <v>1247</v>
      </c>
    </row>
    <row r="41" customFormat="false" ht="19.5" hidden="false" customHeight="true" outlineLevel="0" collapsed="false">
      <c r="A41" s="4" t="s">
        <v>417</v>
      </c>
      <c r="B41" s="4" t="s">
        <v>1858</v>
      </c>
      <c r="C41" s="4" t="s">
        <v>662</v>
      </c>
      <c r="D41" s="4" t="s">
        <v>663</v>
      </c>
      <c r="E41" s="4" t="s">
        <v>706</v>
      </c>
      <c r="F41" s="4" t="n">
        <v>5</v>
      </c>
      <c r="G41" s="4" t="s">
        <v>1440</v>
      </c>
      <c r="H41" s="4" t="s">
        <v>1444</v>
      </c>
      <c r="I41" s="4" t="s">
        <v>1448</v>
      </c>
    </row>
    <row r="42" customFormat="false" ht="19.5" hidden="false" customHeight="true" outlineLevel="0" collapsed="false">
      <c r="A42" s="4" t="s">
        <v>422</v>
      </c>
      <c r="B42" s="4" t="s">
        <v>1859</v>
      </c>
      <c r="C42" s="4" t="s">
        <v>662</v>
      </c>
      <c r="D42" s="4" t="s">
        <v>663</v>
      </c>
      <c r="E42" s="4" t="s">
        <v>707</v>
      </c>
      <c r="F42" s="4" t="n">
        <v>2</v>
      </c>
      <c r="G42" s="4" t="s">
        <v>1228</v>
      </c>
      <c r="H42" s="4" t="s">
        <v>1860</v>
      </c>
      <c r="I42" s="4" t="s">
        <v>1449</v>
      </c>
    </row>
    <row r="43" customFormat="false" ht="19.5" hidden="false" customHeight="true" outlineLevel="0" collapsed="false">
      <c r="A43" s="4" t="s">
        <v>427</v>
      </c>
      <c r="B43" s="4" t="s">
        <v>1861</v>
      </c>
      <c r="C43" s="4" t="s">
        <v>662</v>
      </c>
      <c r="D43" s="4" t="s">
        <v>663</v>
      </c>
      <c r="E43" s="4" t="s">
        <v>708</v>
      </c>
      <c r="F43" s="4" t="n">
        <v>4</v>
      </c>
      <c r="G43" s="4" t="s">
        <v>1440</v>
      </c>
      <c r="H43" s="4" t="s">
        <v>1444</v>
      </c>
      <c r="I43" s="4" t="s">
        <v>1448</v>
      </c>
    </row>
    <row r="44" customFormat="false" ht="19.5" hidden="false" customHeight="true" outlineLevel="0" collapsed="false">
      <c r="A44" s="4" t="s">
        <v>432</v>
      </c>
      <c r="B44" s="4" t="s">
        <v>1862</v>
      </c>
      <c r="C44" s="4" t="s">
        <v>662</v>
      </c>
      <c r="D44" s="4" t="s">
        <v>663</v>
      </c>
      <c r="E44" s="4" t="s">
        <v>709</v>
      </c>
      <c r="F44" s="4" t="n">
        <v>3</v>
      </c>
      <c r="G44" s="4" t="s">
        <v>1440</v>
      </c>
      <c r="H44" s="4" t="s">
        <v>1444</v>
      </c>
      <c r="I44" s="4" t="s">
        <v>1448</v>
      </c>
    </row>
    <row r="45" customFormat="false" ht="19.5" hidden="false" customHeight="true" outlineLevel="0" collapsed="false">
      <c r="A45" s="4" t="s">
        <v>436</v>
      </c>
      <c r="B45" s="4" t="s">
        <v>1863</v>
      </c>
      <c r="C45" s="4" t="s">
        <v>662</v>
      </c>
      <c r="D45" s="4" t="s">
        <v>663</v>
      </c>
      <c r="E45" s="4" t="s">
        <v>710</v>
      </c>
      <c r="F45" s="4" t="n">
        <v>3</v>
      </c>
      <c r="G45" s="4" t="s">
        <v>1440</v>
      </c>
      <c r="H45" s="4" t="s">
        <v>1444</v>
      </c>
      <c r="I45" s="4" t="s">
        <v>1448</v>
      </c>
    </row>
    <row r="46" customFormat="false" ht="19.5" hidden="false" customHeight="true" outlineLevel="0" collapsed="false">
      <c r="A46" s="4" t="s">
        <v>441</v>
      </c>
      <c r="B46" s="4" t="s">
        <v>1864</v>
      </c>
      <c r="C46" s="4" t="s">
        <v>662</v>
      </c>
      <c r="D46" s="4" t="s">
        <v>663</v>
      </c>
      <c r="E46" s="4" t="s">
        <v>711</v>
      </c>
      <c r="F46" s="4" t="n">
        <v>4</v>
      </c>
      <c r="G46" s="25" t="s">
        <v>1228</v>
      </c>
      <c r="H46" s="25" t="s">
        <v>1865</v>
      </c>
      <c r="I46" s="25" t="s">
        <v>1449</v>
      </c>
    </row>
    <row r="47" customFormat="false" ht="19.5" hidden="false" customHeight="true" outlineLevel="0" collapsed="false">
      <c r="A47" s="4" t="s">
        <v>445</v>
      </c>
      <c r="B47" s="4" t="s">
        <v>1866</v>
      </c>
      <c r="C47" s="4" t="s">
        <v>662</v>
      </c>
      <c r="D47" s="4" t="s">
        <v>663</v>
      </c>
      <c r="E47" s="4" t="s">
        <v>712</v>
      </c>
      <c r="F47" s="4" t="n">
        <v>4</v>
      </c>
      <c r="G47" s="25" t="s">
        <v>1228</v>
      </c>
      <c r="H47" s="25" t="s">
        <v>1867</v>
      </c>
      <c r="I47" s="25" t="s">
        <v>1449</v>
      </c>
    </row>
    <row r="48" customFormat="false" ht="55.5" hidden="false" customHeight="true" outlineLevel="0" collapsed="false">
      <c r="A48" s="4" t="s">
        <v>451</v>
      </c>
      <c r="B48" s="4" t="s">
        <v>1868</v>
      </c>
      <c r="C48" s="4" t="s">
        <v>662</v>
      </c>
      <c r="D48" s="4" t="s">
        <v>663</v>
      </c>
      <c r="E48" s="4" t="s">
        <v>713</v>
      </c>
      <c r="F48" s="4" t="n">
        <v>8</v>
      </c>
      <c r="G48" s="4" t="s">
        <v>1228</v>
      </c>
      <c r="H48" s="25" t="s">
        <v>1331</v>
      </c>
      <c r="I48" s="4" t="s">
        <v>1449</v>
      </c>
    </row>
    <row r="49" customFormat="false" ht="30" hidden="false" customHeight="true" outlineLevel="0" collapsed="false">
      <c r="A49" s="4" t="s">
        <v>456</v>
      </c>
      <c r="B49" s="4" t="s">
        <v>1869</v>
      </c>
      <c r="C49" s="4" t="s">
        <v>662</v>
      </c>
      <c r="D49" s="4" t="s">
        <v>663</v>
      </c>
      <c r="E49" s="4" t="s">
        <v>714</v>
      </c>
      <c r="F49" s="4" t="n">
        <v>4</v>
      </c>
      <c r="G49" s="4" t="s">
        <v>1228</v>
      </c>
      <c r="H49" s="25" t="s">
        <v>1870</v>
      </c>
      <c r="I49" s="4" t="s">
        <v>1449</v>
      </c>
    </row>
    <row r="50" customFormat="false" ht="33" hidden="false" customHeight="true" outlineLevel="0" collapsed="false">
      <c r="A50" s="4" t="s">
        <v>715</v>
      </c>
      <c r="B50" s="4" t="s">
        <v>1871</v>
      </c>
      <c r="C50" s="4" t="s">
        <v>662</v>
      </c>
      <c r="D50" s="4" t="s">
        <v>679</v>
      </c>
      <c r="E50" s="4" t="s">
        <v>716</v>
      </c>
      <c r="F50" s="4" t="n">
        <v>2</v>
      </c>
      <c r="G50" s="4" t="s">
        <v>1229</v>
      </c>
      <c r="H50" s="4" t="s">
        <v>1872</v>
      </c>
      <c r="I50" s="25" t="s">
        <v>1277</v>
      </c>
    </row>
    <row r="51" customFormat="false" ht="42.75" hidden="false" customHeight="true" outlineLevel="0" collapsed="false">
      <c r="A51" s="4" t="s">
        <v>717</v>
      </c>
      <c r="B51" s="4" t="s">
        <v>1873</v>
      </c>
      <c r="C51" s="4" t="s">
        <v>662</v>
      </c>
      <c r="D51" s="4" t="s">
        <v>679</v>
      </c>
      <c r="E51" s="4" t="s">
        <v>718</v>
      </c>
      <c r="F51" s="4" t="n">
        <v>2</v>
      </c>
      <c r="G51" s="25" t="s">
        <v>1827</v>
      </c>
      <c r="H51" s="25" t="s">
        <v>1360</v>
      </c>
      <c r="I51" s="25" t="s">
        <v>1874</v>
      </c>
    </row>
    <row r="52" customFormat="false" ht="19.5" hidden="false" customHeight="true" outlineLevel="0" collapsed="false">
      <c r="A52" s="4" t="s">
        <v>38</v>
      </c>
      <c r="B52" s="4" t="s">
        <v>1875</v>
      </c>
      <c r="C52" s="4" t="s">
        <v>719</v>
      </c>
      <c r="D52" s="4" t="s">
        <v>663</v>
      </c>
      <c r="E52" s="4" t="s">
        <v>720</v>
      </c>
      <c r="F52" s="4" t="n">
        <v>3</v>
      </c>
      <c r="G52" s="4" t="s">
        <v>1440</v>
      </c>
      <c r="H52" s="4" t="s">
        <v>1444</v>
      </c>
      <c r="I52" s="4" t="s">
        <v>1448</v>
      </c>
    </row>
    <row r="53" customFormat="false" ht="19.5" hidden="false" customHeight="true" outlineLevel="0" collapsed="false">
      <c r="A53" s="4" t="s">
        <v>143</v>
      </c>
      <c r="B53" s="4" t="s">
        <v>1876</v>
      </c>
      <c r="C53" s="4" t="s">
        <v>719</v>
      </c>
      <c r="D53" s="4" t="s">
        <v>663</v>
      </c>
      <c r="E53" s="4" t="s">
        <v>139</v>
      </c>
      <c r="F53" s="4" t="n">
        <v>1</v>
      </c>
      <c r="G53" s="4" t="s">
        <v>1440</v>
      </c>
      <c r="H53" s="4" t="s">
        <v>1444</v>
      </c>
      <c r="I53" s="4" t="s">
        <v>1448</v>
      </c>
    </row>
    <row r="54" customFormat="false" ht="55.5" hidden="false" customHeight="true" outlineLevel="0" collapsed="false">
      <c r="A54" s="4" t="s">
        <v>147</v>
      </c>
      <c r="B54" s="4" t="s">
        <v>1877</v>
      </c>
      <c r="C54" s="4" t="s">
        <v>719</v>
      </c>
      <c r="D54" s="4" t="s">
        <v>663</v>
      </c>
      <c r="E54" s="4" t="s">
        <v>144</v>
      </c>
      <c r="F54" s="4" t="n">
        <v>1</v>
      </c>
      <c r="G54" s="4" t="s">
        <v>1229</v>
      </c>
      <c r="H54" s="25" t="s">
        <v>1878</v>
      </c>
      <c r="I54" s="25" t="s">
        <v>1256</v>
      </c>
    </row>
    <row r="55" customFormat="false" ht="42.75" hidden="false" customHeight="true" outlineLevel="0" collapsed="false">
      <c r="A55" s="4" t="s">
        <v>44</v>
      </c>
      <c r="B55" s="4" t="s">
        <v>1879</v>
      </c>
      <c r="C55" s="4" t="s">
        <v>719</v>
      </c>
      <c r="D55" s="4" t="s">
        <v>663</v>
      </c>
      <c r="E55" s="4" t="s">
        <v>721</v>
      </c>
      <c r="F55" s="4" t="n">
        <v>4</v>
      </c>
      <c r="G55" s="4" t="s">
        <v>1440</v>
      </c>
      <c r="H55" s="25" t="s">
        <v>1880</v>
      </c>
      <c r="I55" s="4" t="s">
        <v>1448</v>
      </c>
    </row>
    <row r="56" customFormat="false" ht="19.5" hidden="false" customHeight="true" outlineLevel="0" collapsed="false">
      <c r="A56" s="4" t="s">
        <v>25</v>
      </c>
      <c r="B56" s="4" t="s">
        <v>1881</v>
      </c>
      <c r="C56" s="4" t="s">
        <v>719</v>
      </c>
      <c r="D56" s="4" t="s">
        <v>663</v>
      </c>
      <c r="E56" s="4" t="s">
        <v>722</v>
      </c>
      <c r="F56" s="4" t="n">
        <v>4</v>
      </c>
      <c r="G56" s="4" t="s">
        <v>1440</v>
      </c>
      <c r="H56" s="4" t="s">
        <v>1444</v>
      </c>
      <c r="I56" s="4" t="s">
        <v>1448</v>
      </c>
    </row>
    <row r="57" customFormat="false" ht="19.5" hidden="false" customHeight="true" outlineLevel="0" collapsed="false">
      <c r="A57" s="4" t="s">
        <v>160</v>
      </c>
      <c r="B57" s="4" t="s">
        <v>1882</v>
      </c>
      <c r="C57" s="4" t="s">
        <v>719</v>
      </c>
      <c r="D57" s="4" t="s">
        <v>663</v>
      </c>
      <c r="E57" s="4" t="s">
        <v>157</v>
      </c>
      <c r="F57" s="4" t="n">
        <v>1</v>
      </c>
      <c r="G57" s="4" t="s">
        <v>1440</v>
      </c>
      <c r="H57" s="4" t="s">
        <v>1444</v>
      </c>
      <c r="I57" s="4" t="s">
        <v>1448</v>
      </c>
    </row>
    <row r="58" customFormat="false" ht="19.5" hidden="false" customHeight="true" outlineLevel="0" collapsed="false">
      <c r="A58" s="4" t="s">
        <v>164</v>
      </c>
      <c r="B58" s="4" t="s">
        <v>1883</v>
      </c>
      <c r="C58" s="4" t="s">
        <v>719</v>
      </c>
      <c r="D58" s="4" t="s">
        <v>663</v>
      </c>
      <c r="E58" s="4" t="s">
        <v>723</v>
      </c>
      <c r="F58" s="4" t="n">
        <v>2</v>
      </c>
      <c r="G58" s="4" t="s">
        <v>1440</v>
      </c>
      <c r="H58" s="4" t="s">
        <v>1444</v>
      </c>
      <c r="I58" s="4" t="s">
        <v>1448</v>
      </c>
    </row>
    <row r="59" customFormat="false" ht="30" hidden="false" customHeight="true" outlineLevel="0" collapsed="false">
      <c r="A59" s="4" t="s">
        <v>120</v>
      </c>
      <c r="B59" s="4" t="s">
        <v>1884</v>
      </c>
      <c r="C59" s="4" t="s">
        <v>719</v>
      </c>
      <c r="D59" s="4" t="s">
        <v>663</v>
      </c>
      <c r="E59" s="4" t="s">
        <v>724</v>
      </c>
      <c r="F59" s="4" t="n">
        <v>5</v>
      </c>
      <c r="G59" s="25" t="s">
        <v>1228</v>
      </c>
      <c r="H59" s="25" t="s">
        <v>1885</v>
      </c>
      <c r="I59" s="25" t="s">
        <v>1449</v>
      </c>
    </row>
    <row r="60" customFormat="false" ht="30" hidden="false" customHeight="true" outlineLevel="0" collapsed="false">
      <c r="A60" s="4" t="s">
        <v>55</v>
      </c>
      <c r="B60" s="4" t="s">
        <v>1886</v>
      </c>
      <c r="C60" s="4" t="s">
        <v>719</v>
      </c>
      <c r="D60" s="4" t="s">
        <v>663</v>
      </c>
      <c r="E60" s="4" t="s">
        <v>725</v>
      </c>
      <c r="F60" s="4" t="n">
        <v>6</v>
      </c>
      <c r="G60" s="25" t="s">
        <v>1228</v>
      </c>
      <c r="H60" s="25" t="s">
        <v>1887</v>
      </c>
      <c r="I60" s="25" t="s">
        <v>1449</v>
      </c>
    </row>
    <row r="61" customFormat="false" ht="19.5" hidden="false" customHeight="true" outlineLevel="0" collapsed="false">
      <c r="A61" s="4" t="s">
        <v>59</v>
      </c>
      <c r="B61" s="4" t="s">
        <v>1888</v>
      </c>
      <c r="C61" s="4" t="s">
        <v>719</v>
      </c>
      <c r="D61" s="4" t="s">
        <v>663</v>
      </c>
      <c r="E61" s="4" t="s">
        <v>726</v>
      </c>
      <c r="F61" s="4" t="n">
        <v>2</v>
      </c>
      <c r="G61" s="4" t="s">
        <v>1440</v>
      </c>
      <c r="H61" s="4" t="s">
        <v>1444</v>
      </c>
      <c r="I61" s="4" t="s">
        <v>1448</v>
      </c>
    </row>
    <row r="62" customFormat="false" ht="42.75" hidden="false" customHeight="true" outlineLevel="0" collapsed="false">
      <c r="A62" s="4" t="s">
        <v>103</v>
      </c>
      <c r="B62" s="4" t="s">
        <v>1889</v>
      </c>
      <c r="C62" s="4" t="s">
        <v>719</v>
      </c>
      <c r="D62" s="4" t="s">
        <v>663</v>
      </c>
      <c r="E62" s="4" t="s">
        <v>727</v>
      </c>
      <c r="F62" s="4" t="n">
        <v>3</v>
      </c>
      <c r="G62" s="4" t="s">
        <v>1229</v>
      </c>
      <c r="H62" s="25" t="s">
        <v>1890</v>
      </c>
      <c r="I62" s="25" t="s">
        <v>1256</v>
      </c>
    </row>
    <row r="63" customFormat="false" ht="30" hidden="false" customHeight="true" outlineLevel="0" collapsed="false">
      <c r="A63" s="4" t="s">
        <v>13</v>
      </c>
      <c r="B63" s="4" t="s">
        <v>1891</v>
      </c>
      <c r="C63" s="4" t="s">
        <v>719</v>
      </c>
      <c r="D63" s="4" t="s">
        <v>663</v>
      </c>
      <c r="E63" s="4" t="s">
        <v>728</v>
      </c>
      <c r="F63" s="4" t="n">
        <v>3</v>
      </c>
      <c r="G63" s="4" t="s">
        <v>1228</v>
      </c>
      <c r="H63" s="25" t="s">
        <v>1892</v>
      </c>
      <c r="I63" s="4" t="s">
        <v>1449</v>
      </c>
    </row>
    <row r="64" customFormat="false" ht="30" hidden="false" customHeight="true" outlineLevel="0" collapsed="false">
      <c r="A64" s="4" t="s">
        <v>49</v>
      </c>
      <c r="B64" s="4" t="s">
        <v>1893</v>
      </c>
      <c r="C64" s="4" t="s">
        <v>719</v>
      </c>
      <c r="D64" s="4" t="s">
        <v>663</v>
      </c>
      <c r="E64" s="4" t="s">
        <v>729</v>
      </c>
      <c r="F64" s="4" t="n">
        <v>3</v>
      </c>
      <c r="G64" s="25" t="s">
        <v>1228</v>
      </c>
      <c r="H64" s="25" t="s">
        <v>1327</v>
      </c>
      <c r="I64" s="25" t="s">
        <v>1449</v>
      </c>
    </row>
    <row r="65" customFormat="false" ht="30" hidden="false" customHeight="true" outlineLevel="0" collapsed="false">
      <c r="A65" s="4" t="s">
        <v>730</v>
      </c>
      <c r="B65" s="4" t="s">
        <v>1894</v>
      </c>
      <c r="C65" s="4" t="s">
        <v>719</v>
      </c>
      <c r="D65" s="4" t="s">
        <v>679</v>
      </c>
      <c r="E65" s="4" t="s">
        <v>731</v>
      </c>
      <c r="F65" s="4" t="n">
        <v>2</v>
      </c>
      <c r="G65" s="4" t="s">
        <v>1229</v>
      </c>
      <c r="H65" s="25" t="s">
        <v>1895</v>
      </c>
      <c r="I65" s="25" t="s">
        <v>1270</v>
      </c>
    </row>
    <row r="66" customFormat="false" ht="30" hidden="false" customHeight="true" outlineLevel="0" collapsed="false">
      <c r="A66" s="4" t="s">
        <v>732</v>
      </c>
      <c r="B66" s="4" t="s">
        <v>1896</v>
      </c>
      <c r="C66" s="4" t="s">
        <v>719</v>
      </c>
      <c r="D66" s="4" t="s">
        <v>679</v>
      </c>
      <c r="E66" s="4" t="s">
        <v>682</v>
      </c>
      <c r="F66" s="4" t="n">
        <v>2</v>
      </c>
      <c r="G66" s="4" t="s">
        <v>1229</v>
      </c>
      <c r="H66" s="25" t="s">
        <v>1897</v>
      </c>
      <c r="I66" s="25" t="s">
        <v>1277</v>
      </c>
    </row>
    <row r="67" customFormat="false" ht="19.5" hidden="false" customHeight="true" outlineLevel="0" collapsed="false">
      <c r="A67" s="4" t="s">
        <v>328</v>
      </c>
      <c r="B67" s="4" t="s">
        <v>1875</v>
      </c>
      <c r="C67" s="4" t="s">
        <v>719</v>
      </c>
      <c r="D67" s="4" t="s">
        <v>663</v>
      </c>
      <c r="E67" s="4" t="s">
        <v>733</v>
      </c>
      <c r="F67" s="4" t="n">
        <v>2</v>
      </c>
      <c r="G67" s="25" t="s">
        <v>1228</v>
      </c>
      <c r="H67" s="25" t="s">
        <v>1830</v>
      </c>
      <c r="I67" s="25" t="s">
        <v>1449</v>
      </c>
    </row>
    <row r="68" customFormat="false" ht="19.5" hidden="false" customHeight="true" outlineLevel="0" collapsed="false">
      <c r="A68" s="4" t="s">
        <v>332</v>
      </c>
      <c r="B68" s="4" t="s">
        <v>1876</v>
      </c>
      <c r="C68" s="4" t="s">
        <v>719</v>
      </c>
      <c r="D68" s="4" t="s">
        <v>663</v>
      </c>
      <c r="E68" s="4" t="s">
        <v>329</v>
      </c>
      <c r="F68" s="4" t="n">
        <v>1</v>
      </c>
      <c r="G68" s="4" t="s">
        <v>1440</v>
      </c>
      <c r="H68" s="4" t="s">
        <v>1444</v>
      </c>
      <c r="I68" s="4" t="s">
        <v>1448</v>
      </c>
    </row>
    <row r="69" customFormat="false" ht="55.5" hidden="false" customHeight="true" outlineLevel="0" collapsed="false">
      <c r="A69" s="4" t="s">
        <v>337</v>
      </c>
      <c r="B69" s="4" t="s">
        <v>1877</v>
      </c>
      <c r="C69" s="4" t="s">
        <v>719</v>
      </c>
      <c r="D69" s="4" t="s">
        <v>663</v>
      </c>
      <c r="E69" s="4" t="s">
        <v>734</v>
      </c>
      <c r="F69" s="4" t="n">
        <v>2</v>
      </c>
      <c r="G69" s="4" t="s">
        <v>1229</v>
      </c>
      <c r="H69" s="25" t="s">
        <v>1898</v>
      </c>
      <c r="I69" s="25" t="s">
        <v>1256</v>
      </c>
    </row>
    <row r="70" customFormat="false" ht="19.5" hidden="false" customHeight="true" outlineLevel="0" collapsed="false">
      <c r="A70" s="4" t="s">
        <v>341</v>
      </c>
      <c r="B70" s="4" t="s">
        <v>1879</v>
      </c>
      <c r="C70" s="4" t="s">
        <v>719</v>
      </c>
      <c r="D70" s="4" t="s">
        <v>663</v>
      </c>
      <c r="E70" s="4" t="s">
        <v>338</v>
      </c>
      <c r="F70" s="4" t="n">
        <v>1</v>
      </c>
      <c r="G70" s="4" t="s">
        <v>1440</v>
      </c>
      <c r="H70" s="4" t="s">
        <v>1444</v>
      </c>
      <c r="I70" s="4" t="s">
        <v>1448</v>
      </c>
    </row>
    <row r="71" customFormat="false" ht="19.5" hidden="false" customHeight="true" outlineLevel="0" collapsed="false">
      <c r="A71" s="4" t="s">
        <v>201</v>
      </c>
      <c r="B71" s="4" t="s">
        <v>1899</v>
      </c>
      <c r="C71" s="4" t="s">
        <v>719</v>
      </c>
      <c r="D71" s="4" t="s">
        <v>663</v>
      </c>
      <c r="E71" s="4" t="s">
        <v>735</v>
      </c>
      <c r="F71" s="4" t="n">
        <v>4</v>
      </c>
      <c r="G71" s="25" t="s">
        <v>1228</v>
      </c>
      <c r="H71" s="25" t="s">
        <v>1900</v>
      </c>
      <c r="I71" s="25" t="s">
        <v>1449</v>
      </c>
    </row>
    <row r="72" customFormat="false" ht="19.5" hidden="false" customHeight="true" outlineLevel="0" collapsed="false">
      <c r="A72" s="4" t="s">
        <v>213</v>
      </c>
      <c r="B72" s="4" t="s">
        <v>1901</v>
      </c>
      <c r="C72" s="4" t="s">
        <v>719</v>
      </c>
      <c r="D72" s="4" t="s">
        <v>663</v>
      </c>
      <c r="E72" s="4" t="s">
        <v>736</v>
      </c>
      <c r="F72" s="4" t="n">
        <v>5</v>
      </c>
      <c r="G72" s="4" t="s">
        <v>1440</v>
      </c>
      <c r="H72" s="4" t="s">
        <v>1444</v>
      </c>
      <c r="I72" s="4" t="s">
        <v>1448</v>
      </c>
    </row>
    <row r="73" customFormat="false" ht="19.5" hidden="false" customHeight="true" outlineLevel="0" collapsed="false">
      <c r="A73" s="4" t="s">
        <v>265</v>
      </c>
      <c r="B73" s="4" t="s">
        <v>1902</v>
      </c>
      <c r="C73" s="4" t="s">
        <v>719</v>
      </c>
      <c r="D73" s="4" t="s">
        <v>663</v>
      </c>
      <c r="E73" s="4" t="s">
        <v>737</v>
      </c>
      <c r="F73" s="4" t="n">
        <v>6</v>
      </c>
      <c r="G73" s="25" t="s">
        <v>1228</v>
      </c>
      <c r="H73" s="25" t="s">
        <v>1903</v>
      </c>
      <c r="I73" s="25" t="s">
        <v>1449</v>
      </c>
    </row>
    <row r="74" customFormat="false" ht="19.5" hidden="false" customHeight="true" outlineLevel="0" collapsed="false">
      <c r="A74" s="4" t="s">
        <v>243</v>
      </c>
      <c r="B74" s="4" t="s">
        <v>1904</v>
      </c>
      <c r="C74" s="4" t="s">
        <v>719</v>
      </c>
      <c r="D74" s="4" t="s">
        <v>663</v>
      </c>
      <c r="E74" s="4" t="s">
        <v>738</v>
      </c>
      <c r="F74" s="4" t="n">
        <v>4</v>
      </c>
      <c r="G74" s="4" t="s">
        <v>1440</v>
      </c>
      <c r="H74" s="4" t="s">
        <v>1444</v>
      </c>
      <c r="I74" s="4" t="s">
        <v>1448</v>
      </c>
    </row>
    <row r="75" customFormat="false" ht="19.5" hidden="false" customHeight="true" outlineLevel="0" collapsed="false">
      <c r="A75" s="4" t="s">
        <v>228</v>
      </c>
      <c r="B75" s="4" t="s">
        <v>1905</v>
      </c>
      <c r="C75" s="4" t="s">
        <v>719</v>
      </c>
      <c r="D75" s="4" t="s">
        <v>663</v>
      </c>
      <c r="E75" s="4" t="s">
        <v>739</v>
      </c>
      <c r="F75" s="4" t="n">
        <v>3</v>
      </c>
      <c r="G75" s="4" t="s">
        <v>1440</v>
      </c>
      <c r="H75" s="4" t="s">
        <v>1444</v>
      </c>
      <c r="I75" s="4" t="s">
        <v>1448</v>
      </c>
    </row>
    <row r="76" customFormat="false" ht="19.5" hidden="false" customHeight="true" outlineLevel="0" collapsed="false">
      <c r="A76" s="4" t="s">
        <v>222</v>
      </c>
      <c r="B76" s="4" t="s">
        <v>1906</v>
      </c>
      <c r="C76" s="4" t="s">
        <v>719</v>
      </c>
      <c r="D76" s="4" t="s">
        <v>663</v>
      </c>
      <c r="E76" s="4" t="s">
        <v>740</v>
      </c>
      <c r="F76" s="4" t="n">
        <v>3</v>
      </c>
      <c r="G76" s="4" t="s">
        <v>1440</v>
      </c>
      <c r="H76" s="4" t="s">
        <v>1444</v>
      </c>
      <c r="I76" s="4" t="s">
        <v>1448</v>
      </c>
    </row>
    <row r="77" customFormat="false" ht="19.5" hidden="false" customHeight="true" outlineLevel="0" collapsed="false">
      <c r="A77" s="4" t="s">
        <v>249</v>
      </c>
      <c r="B77" s="4" t="s">
        <v>1907</v>
      </c>
      <c r="C77" s="4" t="s">
        <v>719</v>
      </c>
      <c r="D77" s="4" t="s">
        <v>663</v>
      </c>
      <c r="E77" s="4" t="s">
        <v>741</v>
      </c>
      <c r="F77" s="4" t="n">
        <v>4</v>
      </c>
      <c r="G77" s="25" t="s">
        <v>1228</v>
      </c>
      <c r="H77" s="25" t="s">
        <v>1908</v>
      </c>
      <c r="I77" s="25" t="s">
        <v>1449</v>
      </c>
    </row>
    <row r="78" customFormat="false" ht="19.5" hidden="false" customHeight="true" outlineLevel="0" collapsed="false">
      <c r="A78" s="4" t="s">
        <v>280</v>
      </c>
      <c r="B78" s="4" t="s">
        <v>1909</v>
      </c>
      <c r="C78" s="4" t="s">
        <v>719</v>
      </c>
      <c r="D78" s="4" t="s">
        <v>663</v>
      </c>
      <c r="E78" s="4" t="s">
        <v>742</v>
      </c>
      <c r="F78" s="4" t="n">
        <v>3</v>
      </c>
      <c r="G78" s="4" t="s">
        <v>1440</v>
      </c>
      <c r="H78" s="4" t="s">
        <v>1444</v>
      </c>
      <c r="I78" s="4" t="s">
        <v>1448</v>
      </c>
    </row>
    <row r="79" customFormat="false" ht="33" hidden="false" customHeight="true" outlineLevel="0" collapsed="false">
      <c r="A79" s="4" t="s">
        <v>254</v>
      </c>
      <c r="B79" s="4" t="s">
        <v>1910</v>
      </c>
      <c r="C79" s="4" t="s">
        <v>719</v>
      </c>
      <c r="D79" s="4" t="s">
        <v>663</v>
      </c>
      <c r="E79" s="4" t="s">
        <v>743</v>
      </c>
      <c r="F79" s="4" t="n">
        <v>3</v>
      </c>
      <c r="G79" s="25" t="s">
        <v>1228</v>
      </c>
      <c r="H79" s="25" t="s">
        <v>1911</v>
      </c>
      <c r="I79" s="25" t="s">
        <v>1449</v>
      </c>
    </row>
    <row r="80" customFormat="false" ht="30" hidden="false" customHeight="true" outlineLevel="0" collapsed="false">
      <c r="A80" s="4" t="s">
        <v>309</v>
      </c>
      <c r="B80" s="4" t="s">
        <v>1912</v>
      </c>
      <c r="C80" s="4" t="s">
        <v>719</v>
      </c>
      <c r="D80" s="4" t="s">
        <v>663</v>
      </c>
      <c r="E80" s="4" t="s">
        <v>744</v>
      </c>
      <c r="F80" s="4" t="n">
        <v>4</v>
      </c>
      <c r="G80" s="4" t="s">
        <v>1228</v>
      </c>
      <c r="H80" s="25" t="s">
        <v>1913</v>
      </c>
      <c r="I80" s="4" t="s">
        <v>1449</v>
      </c>
    </row>
    <row r="81" customFormat="false" ht="30" hidden="false" customHeight="true" outlineLevel="0" collapsed="false">
      <c r="A81" s="4" t="s">
        <v>75</v>
      </c>
      <c r="B81" s="4" t="s">
        <v>1914</v>
      </c>
      <c r="C81" s="4" t="s">
        <v>719</v>
      </c>
      <c r="D81" s="4" t="s">
        <v>663</v>
      </c>
      <c r="E81" s="4" t="s">
        <v>745</v>
      </c>
      <c r="F81" s="4" t="n">
        <v>5</v>
      </c>
      <c r="G81" s="25" t="s">
        <v>1228</v>
      </c>
      <c r="H81" s="25" t="s">
        <v>1915</v>
      </c>
      <c r="I81" s="25" t="s">
        <v>1449</v>
      </c>
    </row>
    <row r="82" customFormat="false" ht="30" hidden="false" customHeight="true" outlineLevel="0" collapsed="false">
      <c r="A82" s="4" t="s">
        <v>746</v>
      </c>
      <c r="B82" s="4" t="s">
        <v>1916</v>
      </c>
      <c r="C82" s="4" t="s">
        <v>719</v>
      </c>
      <c r="D82" s="4" t="s">
        <v>679</v>
      </c>
      <c r="E82" s="4" t="s">
        <v>387</v>
      </c>
      <c r="F82" s="4" t="n">
        <v>1</v>
      </c>
      <c r="G82" s="4" t="s">
        <v>1827</v>
      </c>
      <c r="H82" s="25" t="s">
        <v>1356</v>
      </c>
      <c r="I82" s="4" t="s">
        <v>1448</v>
      </c>
    </row>
    <row r="83" customFormat="false" ht="19.5" hidden="false" customHeight="true" outlineLevel="0" collapsed="false">
      <c r="A83" s="4" t="s">
        <v>471</v>
      </c>
      <c r="B83" s="4" t="s">
        <v>1917</v>
      </c>
      <c r="C83" s="4" t="s">
        <v>719</v>
      </c>
      <c r="D83" s="4" t="s">
        <v>663</v>
      </c>
      <c r="E83" s="4" t="s">
        <v>747</v>
      </c>
      <c r="F83" s="4" t="n">
        <v>2</v>
      </c>
      <c r="G83" s="4" t="s">
        <v>1228</v>
      </c>
      <c r="H83" s="4" t="s">
        <v>1918</v>
      </c>
      <c r="I83" s="4" t="s">
        <v>1449</v>
      </c>
    </row>
    <row r="84" customFormat="false" ht="42.75" hidden="false" customHeight="true" outlineLevel="0" collapsed="false">
      <c r="A84" s="4" t="s">
        <v>475</v>
      </c>
      <c r="B84" s="4" t="s">
        <v>1919</v>
      </c>
      <c r="C84" s="4" t="s">
        <v>719</v>
      </c>
      <c r="D84" s="4" t="s">
        <v>663</v>
      </c>
      <c r="E84" s="4" t="s">
        <v>472</v>
      </c>
      <c r="F84" s="4" t="n">
        <v>1</v>
      </c>
      <c r="G84" s="4" t="s">
        <v>1229</v>
      </c>
      <c r="H84" s="25" t="s">
        <v>1920</v>
      </c>
      <c r="I84" s="25" t="s">
        <v>1256</v>
      </c>
    </row>
    <row r="85" customFormat="false" ht="19.5" hidden="false" customHeight="true" outlineLevel="0" collapsed="false">
      <c r="A85" s="4" t="s">
        <v>418</v>
      </c>
      <c r="B85" s="4" t="s">
        <v>1921</v>
      </c>
      <c r="C85" s="4" t="s">
        <v>719</v>
      </c>
      <c r="D85" s="4" t="s">
        <v>663</v>
      </c>
      <c r="E85" s="4" t="s">
        <v>748</v>
      </c>
      <c r="F85" s="4" t="n">
        <v>2</v>
      </c>
      <c r="G85" s="4" t="s">
        <v>1440</v>
      </c>
      <c r="H85" s="4" t="s">
        <v>1444</v>
      </c>
      <c r="I85" s="4" t="s">
        <v>1448</v>
      </c>
    </row>
    <row r="86" customFormat="false" ht="19.5" hidden="false" customHeight="true" outlineLevel="0" collapsed="false">
      <c r="A86" s="4" t="s">
        <v>428</v>
      </c>
      <c r="B86" s="4" t="s">
        <v>1907</v>
      </c>
      <c r="C86" s="4" t="s">
        <v>719</v>
      </c>
      <c r="D86" s="4" t="s">
        <v>663</v>
      </c>
      <c r="E86" s="4" t="s">
        <v>749</v>
      </c>
      <c r="F86" s="4" t="n">
        <v>2</v>
      </c>
      <c r="G86" s="4" t="s">
        <v>1440</v>
      </c>
      <c r="H86" s="4" t="s">
        <v>1444</v>
      </c>
      <c r="I86" s="4" t="s">
        <v>1448</v>
      </c>
    </row>
    <row r="87" customFormat="false" ht="42.75" hidden="false" customHeight="true" outlineLevel="0" collapsed="false">
      <c r="A87" s="4" t="s">
        <v>437</v>
      </c>
      <c r="B87" s="4" t="s">
        <v>1922</v>
      </c>
      <c r="C87" s="4" t="s">
        <v>719</v>
      </c>
      <c r="D87" s="4" t="s">
        <v>663</v>
      </c>
      <c r="E87" s="4" t="s">
        <v>750</v>
      </c>
      <c r="F87" s="4" t="n">
        <v>2</v>
      </c>
      <c r="G87" s="4" t="s">
        <v>1229</v>
      </c>
      <c r="H87" s="25" t="s">
        <v>1923</v>
      </c>
      <c r="I87" s="25" t="s">
        <v>1256</v>
      </c>
    </row>
    <row r="88" customFormat="false" ht="30" hidden="false" customHeight="true" outlineLevel="0" collapsed="false">
      <c r="A88" s="4" t="s">
        <v>397</v>
      </c>
      <c r="B88" s="4" t="s">
        <v>1924</v>
      </c>
      <c r="C88" s="4" t="s">
        <v>719</v>
      </c>
      <c r="D88" s="4" t="s">
        <v>663</v>
      </c>
      <c r="E88" s="25" t="s">
        <v>751</v>
      </c>
      <c r="F88" s="25" t="n">
        <v>7</v>
      </c>
      <c r="G88" s="4" t="s">
        <v>1228</v>
      </c>
      <c r="H88" s="25" t="s">
        <v>1925</v>
      </c>
      <c r="I88" s="4" t="s">
        <v>1449</v>
      </c>
    </row>
    <row r="89" customFormat="false" ht="19.5" hidden="false" customHeight="true" outlineLevel="0" collapsed="false">
      <c r="A89" s="4" t="s">
        <v>446</v>
      </c>
      <c r="B89" s="4" t="s">
        <v>1926</v>
      </c>
      <c r="C89" s="4" t="s">
        <v>719</v>
      </c>
      <c r="D89" s="4" t="s">
        <v>663</v>
      </c>
      <c r="E89" s="4" t="s">
        <v>712</v>
      </c>
      <c r="F89" s="4" t="n">
        <v>4</v>
      </c>
      <c r="G89" s="25" t="s">
        <v>1228</v>
      </c>
      <c r="H89" s="25" t="s">
        <v>1867</v>
      </c>
      <c r="I89" s="25" t="s">
        <v>1449</v>
      </c>
    </row>
    <row r="90" customFormat="false" ht="19.5" hidden="false" customHeight="true" outlineLevel="0" collapsed="false">
      <c r="A90" s="4" t="s">
        <v>67</v>
      </c>
      <c r="B90" s="4" t="s">
        <v>1927</v>
      </c>
      <c r="C90" s="4" t="s">
        <v>719</v>
      </c>
      <c r="D90" s="4" t="s">
        <v>663</v>
      </c>
      <c r="E90" s="4" t="s">
        <v>711</v>
      </c>
      <c r="F90" s="4" t="n">
        <v>4</v>
      </c>
      <c r="G90" s="25" t="s">
        <v>1228</v>
      </c>
      <c r="H90" s="25" t="s">
        <v>1865</v>
      </c>
      <c r="I90" s="25" t="s">
        <v>1449</v>
      </c>
    </row>
    <row r="91" customFormat="false" ht="19.5" hidden="false" customHeight="true" outlineLevel="0" collapsed="false">
      <c r="A91" s="4" t="s">
        <v>498</v>
      </c>
      <c r="B91" s="4" t="s">
        <v>1901</v>
      </c>
      <c r="C91" s="4" t="s">
        <v>719</v>
      </c>
      <c r="D91" s="4" t="s">
        <v>663</v>
      </c>
      <c r="E91" s="4" t="s">
        <v>707</v>
      </c>
      <c r="F91" s="4" t="n">
        <v>2</v>
      </c>
      <c r="G91" s="4" t="s">
        <v>1440</v>
      </c>
      <c r="H91" s="4" t="s">
        <v>1444</v>
      </c>
      <c r="I91" s="4" t="s">
        <v>1448</v>
      </c>
    </row>
    <row r="92" customFormat="false" ht="33" hidden="false" customHeight="true" outlineLevel="0" collapsed="false">
      <c r="A92" s="4" t="s">
        <v>319</v>
      </c>
      <c r="B92" s="4" t="s">
        <v>1928</v>
      </c>
      <c r="C92" s="4" t="s">
        <v>719</v>
      </c>
      <c r="D92" s="4" t="s">
        <v>663</v>
      </c>
      <c r="E92" s="4" t="s">
        <v>752</v>
      </c>
      <c r="F92" s="4" t="n">
        <v>2</v>
      </c>
      <c r="G92" s="4" t="s">
        <v>1440</v>
      </c>
      <c r="H92" s="4" t="s">
        <v>1444</v>
      </c>
      <c r="I92" s="4" t="s">
        <v>1448</v>
      </c>
    </row>
    <row r="93" customFormat="false" ht="19.5" hidden="false" customHeight="true" outlineLevel="0" collapsed="false">
      <c r="A93" s="4" t="s">
        <v>506</v>
      </c>
      <c r="B93" s="4" t="s">
        <v>1929</v>
      </c>
      <c r="C93" s="4" t="s">
        <v>719</v>
      </c>
      <c r="D93" s="4" t="s">
        <v>663</v>
      </c>
      <c r="E93" s="4" t="s">
        <v>502</v>
      </c>
      <c r="F93" s="4" t="n">
        <v>1</v>
      </c>
      <c r="G93" s="4" t="s">
        <v>1440</v>
      </c>
      <c r="H93" s="4" t="s">
        <v>1444</v>
      </c>
      <c r="I93" s="4" t="s">
        <v>1448</v>
      </c>
    </row>
    <row r="94" customFormat="false" ht="19.5" hidden="false" customHeight="true" outlineLevel="0" collapsed="false">
      <c r="A94" s="4" t="s">
        <v>511</v>
      </c>
      <c r="B94" s="4" t="s">
        <v>1904</v>
      </c>
      <c r="C94" s="4" t="s">
        <v>719</v>
      </c>
      <c r="D94" s="4" t="s">
        <v>663</v>
      </c>
      <c r="E94" s="4" t="s">
        <v>507</v>
      </c>
      <c r="F94" s="4" t="n">
        <v>1</v>
      </c>
      <c r="G94" s="4" t="s">
        <v>1440</v>
      </c>
      <c r="H94" s="4" t="s">
        <v>1444</v>
      </c>
      <c r="I94" s="4" t="s">
        <v>1448</v>
      </c>
    </row>
    <row r="95" customFormat="false" ht="19.5" hidden="false" customHeight="true" outlineLevel="0" collapsed="false">
      <c r="A95" s="4" t="s">
        <v>452</v>
      </c>
      <c r="B95" s="4" t="s">
        <v>1891</v>
      </c>
      <c r="C95" s="4" t="s">
        <v>719</v>
      </c>
      <c r="D95" s="4" t="s">
        <v>663</v>
      </c>
      <c r="E95" s="4" t="s">
        <v>753</v>
      </c>
      <c r="F95" s="4" t="n">
        <v>2</v>
      </c>
      <c r="G95" s="25" t="s">
        <v>1228</v>
      </c>
      <c r="H95" s="25" t="s">
        <v>1930</v>
      </c>
      <c r="I95" s="25" t="s">
        <v>1449</v>
      </c>
    </row>
    <row r="96" customFormat="false" ht="33" hidden="false" customHeight="true" outlineLevel="0" collapsed="false">
      <c r="A96" s="4" t="s">
        <v>754</v>
      </c>
      <c r="B96" s="4" t="s">
        <v>1931</v>
      </c>
      <c r="C96" s="4" t="s">
        <v>719</v>
      </c>
      <c r="D96" s="4" t="s">
        <v>663</v>
      </c>
      <c r="E96" s="4" t="s">
        <v>755</v>
      </c>
      <c r="F96" s="4" t="n">
        <v>3</v>
      </c>
      <c r="G96" s="25" t="s">
        <v>1229</v>
      </c>
      <c r="H96" s="25" t="s">
        <v>1932</v>
      </c>
      <c r="I96" s="25" t="s">
        <v>1247</v>
      </c>
    </row>
    <row r="97" customFormat="false" ht="42.75" hidden="false" customHeight="true" outlineLevel="0" collapsed="false">
      <c r="A97" s="4" t="s">
        <v>756</v>
      </c>
      <c r="B97" s="4" t="s">
        <v>1933</v>
      </c>
      <c r="C97" s="4" t="s">
        <v>719</v>
      </c>
      <c r="D97" s="4" t="s">
        <v>679</v>
      </c>
      <c r="E97" s="4" t="s">
        <v>519</v>
      </c>
      <c r="F97" s="4" t="n">
        <v>1</v>
      </c>
      <c r="G97" s="4" t="s">
        <v>1229</v>
      </c>
      <c r="H97" s="25" t="s">
        <v>1366</v>
      </c>
      <c r="I97" s="4" t="s">
        <v>1934</v>
      </c>
    </row>
    <row r="98" customFormat="false" ht="30" hidden="false" customHeight="true" outlineLevel="0" collapsed="false">
      <c r="A98" s="4" t="s">
        <v>757</v>
      </c>
      <c r="B98" s="4" t="s">
        <v>1935</v>
      </c>
      <c r="C98" s="4" t="s">
        <v>719</v>
      </c>
      <c r="D98" s="4" t="s">
        <v>679</v>
      </c>
      <c r="E98" s="4" t="s">
        <v>716</v>
      </c>
      <c r="F98" s="4" t="n">
        <v>2</v>
      </c>
      <c r="G98" s="4" t="s">
        <v>1229</v>
      </c>
      <c r="H98" s="4" t="s">
        <v>1872</v>
      </c>
      <c r="I98" s="25" t="s">
        <v>1277</v>
      </c>
    </row>
    <row r="99" customFormat="false" ht="19.5" hidden="false" customHeight="true" outlineLevel="0" collapsed="false">
      <c r="A99" s="4" t="s">
        <v>14</v>
      </c>
      <c r="B99" s="4" t="s">
        <v>1936</v>
      </c>
      <c r="C99" s="4" t="s">
        <v>758</v>
      </c>
      <c r="D99" s="4" t="s">
        <v>663</v>
      </c>
      <c r="E99" s="4" t="s">
        <v>759</v>
      </c>
      <c r="F99" s="4" t="n">
        <v>4</v>
      </c>
      <c r="G99" s="25" t="s">
        <v>1228</v>
      </c>
      <c r="H99" s="25" t="s">
        <v>1937</v>
      </c>
      <c r="I99" s="25" t="s">
        <v>1449</v>
      </c>
    </row>
    <row r="100" customFormat="false" ht="19.5" hidden="false" customHeight="true" outlineLevel="0" collapsed="false">
      <c r="A100" s="4" t="s">
        <v>398</v>
      </c>
      <c r="B100" s="4" t="s">
        <v>1938</v>
      </c>
      <c r="C100" s="4" t="s">
        <v>758</v>
      </c>
      <c r="D100" s="4" t="s">
        <v>663</v>
      </c>
      <c r="E100" s="4" t="s">
        <v>760</v>
      </c>
      <c r="F100" s="4" t="n">
        <v>4</v>
      </c>
      <c r="G100" s="25" t="s">
        <v>1228</v>
      </c>
      <c r="H100" s="25" t="s">
        <v>1939</v>
      </c>
      <c r="I100" s="25" t="s">
        <v>1449</v>
      </c>
    </row>
    <row r="101" customFormat="false" ht="19.5" hidden="false" customHeight="true" outlineLevel="0" collapsed="false">
      <c r="A101" s="4" t="s">
        <v>761</v>
      </c>
      <c r="B101" s="4" t="s">
        <v>1940</v>
      </c>
      <c r="C101" s="4" t="s">
        <v>758</v>
      </c>
      <c r="D101" s="4" t="s">
        <v>663</v>
      </c>
      <c r="E101" s="4" t="s">
        <v>45</v>
      </c>
      <c r="F101" s="4" t="n">
        <v>1</v>
      </c>
      <c r="G101" s="25" t="s">
        <v>1228</v>
      </c>
      <c r="H101" s="25" t="s">
        <v>1326</v>
      </c>
      <c r="I101" s="25" t="s">
        <v>1449</v>
      </c>
    </row>
    <row r="102" customFormat="false" ht="19.5" hidden="false" customHeight="true" outlineLevel="0" collapsed="false">
      <c r="A102" s="4" t="s">
        <v>223</v>
      </c>
      <c r="B102" s="4" t="s">
        <v>1941</v>
      </c>
      <c r="C102" s="4" t="s">
        <v>758</v>
      </c>
      <c r="D102" s="4" t="s">
        <v>663</v>
      </c>
      <c r="E102" s="4" t="s">
        <v>218</v>
      </c>
      <c r="F102" s="4" t="n">
        <v>1</v>
      </c>
      <c r="G102" s="4" t="s">
        <v>1440</v>
      </c>
      <c r="H102" s="4" t="s">
        <v>1444</v>
      </c>
      <c r="I102" s="4" t="s">
        <v>1448</v>
      </c>
    </row>
    <row r="103" customFormat="false" ht="19.5" hidden="false" customHeight="true" outlineLevel="0" collapsed="false">
      <c r="A103" s="4" t="s">
        <v>104</v>
      </c>
      <c r="B103" s="4" t="s">
        <v>1942</v>
      </c>
      <c r="C103" s="4" t="s">
        <v>758</v>
      </c>
      <c r="D103" s="4" t="s">
        <v>663</v>
      </c>
      <c r="E103" s="4" t="s">
        <v>762</v>
      </c>
      <c r="F103" s="4" t="n">
        <v>3</v>
      </c>
      <c r="G103" s="25" t="s">
        <v>1228</v>
      </c>
      <c r="H103" s="25" t="s">
        <v>1832</v>
      </c>
      <c r="I103" s="25" t="s">
        <v>1449</v>
      </c>
    </row>
    <row r="104" customFormat="false" ht="19.5" hidden="false" customHeight="true" outlineLevel="0" collapsed="false">
      <c r="A104" s="4" t="s">
        <v>234</v>
      </c>
      <c r="B104" s="4" t="s">
        <v>1943</v>
      </c>
      <c r="C104" s="4" t="s">
        <v>758</v>
      </c>
      <c r="D104" s="4" t="s">
        <v>663</v>
      </c>
      <c r="E104" s="4" t="s">
        <v>763</v>
      </c>
      <c r="F104" s="4" t="n">
        <v>6</v>
      </c>
      <c r="G104" s="4" t="s">
        <v>1440</v>
      </c>
      <c r="H104" s="4" t="s">
        <v>1444</v>
      </c>
      <c r="I104" s="4" t="s">
        <v>1448</v>
      </c>
    </row>
    <row r="105" customFormat="false" ht="19.5" hidden="false" customHeight="true" outlineLevel="0" collapsed="false">
      <c r="A105" s="4" t="s">
        <v>764</v>
      </c>
      <c r="B105" s="4" t="s">
        <v>1944</v>
      </c>
      <c r="C105" s="4" t="s">
        <v>758</v>
      </c>
      <c r="D105" s="4" t="s">
        <v>663</v>
      </c>
      <c r="E105" s="4" t="s">
        <v>765</v>
      </c>
      <c r="F105" s="4" t="n">
        <v>4</v>
      </c>
      <c r="G105" s="25" t="s">
        <v>1228</v>
      </c>
      <c r="H105" s="25" t="s">
        <v>1816</v>
      </c>
      <c r="I105" s="25" t="s">
        <v>1449</v>
      </c>
    </row>
    <row r="106" customFormat="false" ht="19.5" hidden="false" customHeight="true" outlineLevel="0" collapsed="false">
      <c r="A106" s="4" t="s">
        <v>281</v>
      </c>
      <c r="B106" s="4" t="s">
        <v>1945</v>
      </c>
      <c r="C106" s="4" t="s">
        <v>758</v>
      </c>
      <c r="D106" s="4" t="s">
        <v>663</v>
      </c>
      <c r="E106" s="4" t="s">
        <v>766</v>
      </c>
      <c r="F106" s="4" t="n">
        <v>6</v>
      </c>
      <c r="G106" s="25" t="s">
        <v>1228</v>
      </c>
      <c r="H106" s="25" t="s">
        <v>1816</v>
      </c>
      <c r="I106" s="25" t="s">
        <v>1449</v>
      </c>
    </row>
    <row r="107" customFormat="false" ht="19.5" hidden="false" customHeight="true" outlineLevel="0" collapsed="false">
      <c r="A107" s="4" t="s">
        <v>165</v>
      </c>
      <c r="B107" s="4" t="s">
        <v>1946</v>
      </c>
      <c r="C107" s="4" t="s">
        <v>758</v>
      </c>
      <c r="D107" s="4" t="s">
        <v>663</v>
      </c>
      <c r="E107" s="4" t="s">
        <v>767</v>
      </c>
      <c r="F107" s="4" t="n">
        <v>5</v>
      </c>
      <c r="G107" s="25" t="s">
        <v>1228</v>
      </c>
      <c r="H107" s="25" t="s">
        <v>1947</v>
      </c>
      <c r="I107" s="25" t="s">
        <v>1449</v>
      </c>
    </row>
    <row r="108" customFormat="false" ht="19.5" hidden="false" customHeight="true" outlineLevel="0" collapsed="false">
      <c r="A108" s="4" t="s">
        <v>93</v>
      </c>
      <c r="B108" s="4" t="s">
        <v>1948</v>
      </c>
      <c r="C108" s="4" t="s">
        <v>758</v>
      </c>
      <c r="D108" s="4" t="s">
        <v>663</v>
      </c>
      <c r="E108" s="4" t="s">
        <v>768</v>
      </c>
      <c r="F108" s="4" t="n">
        <v>3</v>
      </c>
      <c r="G108" s="25" t="s">
        <v>1228</v>
      </c>
      <c r="H108" s="25" t="s">
        <v>1949</v>
      </c>
      <c r="I108" s="25" t="s">
        <v>1449</v>
      </c>
    </row>
    <row r="109" customFormat="false" ht="33" hidden="false" customHeight="true" outlineLevel="0" collapsed="false">
      <c r="A109" s="4" t="s">
        <v>26</v>
      </c>
      <c r="B109" s="4" t="s">
        <v>1950</v>
      </c>
      <c r="C109" s="4" t="s">
        <v>758</v>
      </c>
      <c r="D109" s="4" t="s">
        <v>663</v>
      </c>
      <c r="E109" s="4" t="s">
        <v>769</v>
      </c>
      <c r="F109" s="4" t="n">
        <v>10</v>
      </c>
      <c r="G109" s="25" t="s">
        <v>1228</v>
      </c>
      <c r="H109" s="25" t="s">
        <v>1951</v>
      </c>
      <c r="I109" s="25" t="s">
        <v>1449</v>
      </c>
    </row>
    <row r="110" customFormat="false" ht="33" hidden="false" customHeight="true" outlineLevel="0" collapsed="false">
      <c r="A110" s="4" t="s">
        <v>121</v>
      </c>
      <c r="B110" s="4" t="s">
        <v>1952</v>
      </c>
      <c r="C110" s="4" t="s">
        <v>758</v>
      </c>
      <c r="D110" s="4" t="s">
        <v>663</v>
      </c>
      <c r="E110" s="4" t="s">
        <v>770</v>
      </c>
      <c r="F110" s="4" t="n">
        <v>8</v>
      </c>
      <c r="G110" s="25" t="s">
        <v>1228</v>
      </c>
      <c r="H110" s="25" t="s">
        <v>1953</v>
      </c>
      <c r="I110" s="25" t="s">
        <v>1449</v>
      </c>
    </row>
    <row r="111" customFormat="false" ht="19.5" hidden="false" customHeight="true" outlineLevel="0" collapsed="false">
      <c r="A111" s="4" t="s">
        <v>68</v>
      </c>
      <c r="B111" s="4" t="s">
        <v>1954</v>
      </c>
      <c r="C111" s="4" t="s">
        <v>758</v>
      </c>
      <c r="D111" s="4" t="s">
        <v>663</v>
      </c>
      <c r="E111" s="4" t="s">
        <v>771</v>
      </c>
      <c r="F111" s="4" t="n">
        <v>6</v>
      </c>
      <c r="G111" s="25" t="s">
        <v>1228</v>
      </c>
      <c r="H111" s="25" t="s">
        <v>1865</v>
      </c>
      <c r="I111" s="25" t="s">
        <v>1449</v>
      </c>
    </row>
    <row r="112" customFormat="false" ht="19.5" hidden="false" customHeight="true" outlineLevel="0" collapsed="false">
      <c r="A112" s="4" t="s">
        <v>772</v>
      </c>
      <c r="B112" s="4" t="s">
        <v>1955</v>
      </c>
      <c r="C112" s="4" t="s">
        <v>758</v>
      </c>
      <c r="D112" s="4" t="s">
        <v>663</v>
      </c>
      <c r="E112" s="4" t="s">
        <v>773</v>
      </c>
      <c r="F112" s="4" t="n">
        <v>2</v>
      </c>
      <c r="G112" s="25" t="s">
        <v>1228</v>
      </c>
      <c r="H112" s="25" t="s">
        <v>1845</v>
      </c>
      <c r="I112" s="25" t="s">
        <v>1449</v>
      </c>
    </row>
    <row r="113" customFormat="false" ht="33" hidden="false" customHeight="true" outlineLevel="0" collapsed="false">
      <c r="A113" s="4" t="s">
        <v>260</v>
      </c>
      <c r="B113" s="4" t="s">
        <v>1956</v>
      </c>
      <c r="C113" s="4" t="s">
        <v>758</v>
      </c>
      <c r="D113" s="4" t="s">
        <v>663</v>
      </c>
      <c r="E113" s="25" t="s">
        <v>743</v>
      </c>
      <c r="F113" s="25" t="n">
        <v>3</v>
      </c>
      <c r="G113" s="25" t="s">
        <v>1229</v>
      </c>
      <c r="H113" s="25" t="s">
        <v>1957</v>
      </c>
      <c r="I113" s="25" t="s">
        <v>1235</v>
      </c>
    </row>
    <row r="114" customFormat="false" ht="30" hidden="false" customHeight="true" outlineLevel="0" collapsed="false">
      <c r="A114" s="4" t="s">
        <v>539</v>
      </c>
      <c r="B114" s="4" t="s">
        <v>1958</v>
      </c>
      <c r="C114" s="4" t="s">
        <v>758</v>
      </c>
      <c r="D114" s="4" t="s">
        <v>663</v>
      </c>
      <c r="E114" s="25" t="s">
        <v>774</v>
      </c>
      <c r="F114" s="25" t="n">
        <v>3</v>
      </c>
      <c r="G114" s="25" t="s">
        <v>1228</v>
      </c>
      <c r="H114" s="25" t="s">
        <v>1959</v>
      </c>
      <c r="I114" s="25" t="s">
        <v>1449</v>
      </c>
    </row>
    <row r="115" customFormat="false" ht="33" hidden="false" customHeight="true" outlineLevel="0" collapsed="false">
      <c r="A115" s="4" t="s">
        <v>356</v>
      </c>
      <c r="B115" s="4" t="s">
        <v>1960</v>
      </c>
      <c r="C115" s="4" t="s">
        <v>758</v>
      </c>
      <c r="D115" s="4" t="s">
        <v>663</v>
      </c>
      <c r="E115" s="4" t="s">
        <v>775</v>
      </c>
      <c r="F115" s="4" t="n">
        <v>4</v>
      </c>
      <c r="G115" s="4" t="s">
        <v>1228</v>
      </c>
      <c r="H115" s="25" t="s">
        <v>1343</v>
      </c>
      <c r="I115" s="4" t="s">
        <v>1449</v>
      </c>
    </row>
    <row r="116" customFormat="false" ht="30" hidden="false" customHeight="true" outlineLevel="0" collapsed="false">
      <c r="A116" s="4" t="s">
        <v>133</v>
      </c>
      <c r="B116" s="4" t="s">
        <v>1961</v>
      </c>
      <c r="C116" s="4" t="s">
        <v>758</v>
      </c>
      <c r="D116" s="4" t="s">
        <v>663</v>
      </c>
      <c r="E116" s="4" t="s">
        <v>776</v>
      </c>
      <c r="F116" s="4" t="n">
        <v>5</v>
      </c>
      <c r="G116" s="4" t="s">
        <v>1228</v>
      </c>
      <c r="H116" s="25" t="s">
        <v>1962</v>
      </c>
      <c r="I116" s="4" t="s">
        <v>1449</v>
      </c>
    </row>
    <row r="117" customFormat="false" ht="19.5" hidden="false" customHeight="true" outlineLevel="0" collapsed="false">
      <c r="A117" s="4" t="s">
        <v>777</v>
      </c>
      <c r="B117" s="4" t="s">
        <v>1963</v>
      </c>
      <c r="C117" s="4" t="s">
        <v>758</v>
      </c>
      <c r="D117" s="4" t="s">
        <v>663</v>
      </c>
      <c r="E117" s="4" t="s">
        <v>778</v>
      </c>
      <c r="F117" s="4" t="n">
        <v>4</v>
      </c>
      <c r="G117" s="25" t="s">
        <v>1228</v>
      </c>
      <c r="H117" s="25" t="s">
        <v>1964</v>
      </c>
      <c r="I117" s="25" t="s">
        <v>1449</v>
      </c>
    </row>
    <row r="118" customFormat="false" ht="33" hidden="false" customHeight="true" outlineLevel="0" collapsed="false">
      <c r="A118" s="4" t="s">
        <v>189</v>
      </c>
      <c r="B118" s="4" t="s">
        <v>1965</v>
      </c>
      <c r="C118" s="4" t="s">
        <v>758</v>
      </c>
      <c r="D118" s="4" t="s">
        <v>663</v>
      </c>
      <c r="E118" s="4" t="s">
        <v>779</v>
      </c>
      <c r="F118" s="4" t="n">
        <v>4</v>
      </c>
      <c r="G118" s="25" t="s">
        <v>1228</v>
      </c>
      <c r="H118" s="25" t="s">
        <v>1966</v>
      </c>
      <c r="I118" s="25" t="s">
        <v>1449</v>
      </c>
    </row>
    <row r="119" customFormat="false" ht="30" hidden="false" customHeight="true" outlineLevel="0" collapsed="false">
      <c r="A119" s="4" t="s">
        <v>382</v>
      </c>
      <c r="B119" s="4" t="s">
        <v>1967</v>
      </c>
      <c r="C119" s="4" t="s">
        <v>758</v>
      </c>
      <c r="D119" s="4" t="s">
        <v>663</v>
      </c>
      <c r="E119" s="4" t="s">
        <v>780</v>
      </c>
      <c r="F119" s="4" t="n">
        <v>6</v>
      </c>
      <c r="G119" s="4" t="s">
        <v>1228</v>
      </c>
      <c r="H119" s="25" t="s">
        <v>1968</v>
      </c>
      <c r="I119" s="4" t="s">
        <v>1449</v>
      </c>
    </row>
    <row r="120" customFormat="false" ht="30" hidden="false" customHeight="true" outlineLevel="0" collapsed="false">
      <c r="A120" s="4" t="s">
        <v>275</v>
      </c>
      <c r="B120" s="4" t="s">
        <v>1969</v>
      </c>
      <c r="C120" s="4" t="s">
        <v>758</v>
      </c>
      <c r="D120" s="4" t="s">
        <v>663</v>
      </c>
      <c r="E120" s="4" t="s">
        <v>781</v>
      </c>
      <c r="F120" s="4" t="n">
        <v>3</v>
      </c>
      <c r="G120" s="25" t="s">
        <v>1228</v>
      </c>
      <c r="H120" s="25" t="s">
        <v>1915</v>
      </c>
      <c r="I120" s="25" t="s">
        <v>1449</v>
      </c>
    </row>
    <row r="121" customFormat="false" ht="19.5" hidden="false" customHeight="true" outlineLevel="0" collapsed="false">
      <c r="A121" s="4" t="s">
        <v>295</v>
      </c>
      <c r="B121" s="4" t="s">
        <v>1970</v>
      </c>
      <c r="C121" s="4" t="s">
        <v>758</v>
      </c>
      <c r="D121" s="4" t="s">
        <v>663</v>
      </c>
      <c r="E121" s="4" t="s">
        <v>291</v>
      </c>
      <c r="F121" s="4" t="n">
        <v>1</v>
      </c>
      <c r="G121" s="4" t="s">
        <v>1440</v>
      </c>
      <c r="H121" s="4" t="s">
        <v>1444</v>
      </c>
      <c r="I121" s="4" t="s">
        <v>1448</v>
      </c>
    </row>
    <row r="122" customFormat="false" ht="19.5" hidden="false" customHeight="true" outlineLevel="0" collapsed="false">
      <c r="A122" s="4" t="s">
        <v>300</v>
      </c>
      <c r="B122" s="4" t="s">
        <v>1971</v>
      </c>
      <c r="C122" s="4" t="s">
        <v>758</v>
      </c>
      <c r="D122" s="4" t="s">
        <v>663</v>
      </c>
      <c r="E122" s="4" t="s">
        <v>782</v>
      </c>
      <c r="F122" s="4" t="n">
        <v>4</v>
      </c>
      <c r="G122" s="25" t="s">
        <v>1228</v>
      </c>
      <c r="H122" s="25" t="s">
        <v>1972</v>
      </c>
      <c r="I122" s="25" t="s">
        <v>1449</v>
      </c>
    </row>
    <row r="123" customFormat="false" ht="19.5" hidden="false" customHeight="true" outlineLevel="0" collapsed="false">
      <c r="A123" s="4" t="s">
        <v>39</v>
      </c>
      <c r="B123" s="4" t="s">
        <v>1973</v>
      </c>
      <c r="C123" s="4" t="s">
        <v>758</v>
      </c>
      <c r="D123" s="4" t="s">
        <v>663</v>
      </c>
      <c r="E123" s="4" t="s">
        <v>783</v>
      </c>
      <c r="F123" s="4" t="n">
        <v>4</v>
      </c>
      <c r="G123" s="4" t="s">
        <v>1440</v>
      </c>
      <c r="H123" s="4" t="s">
        <v>1444</v>
      </c>
      <c r="I123" s="4" t="s">
        <v>1448</v>
      </c>
    </row>
    <row r="124" customFormat="false" ht="30" hidden="false" customHeight="true" outlineLevel="0" collapsed="false">
      <c r="A124" s="4" t="s">
        <v>127</v>
      </c>
      <c r="B124" s="4" t="s">
        <v>1974</v>
      </c>
      <c r="C124" s="4" t="s">
        <v>758</v>
      </c>
      <c r="D124" s="4" t="s">
        <v>679</v>
      </c>
      <c r="E124" s="4" t="s">
        <v>784</v>
      </c>
      <c r="F124" s="4" t="n">
        <v>4</v>
      </c>
      <c r="G124" s="4" t="s">
        <v>1229</v>
      </c>
      <c r="H124" s="25" t="s">
        <v>1975</v>
      </c>
      <c r="I124" s="25" t="s">
        <v>1277</v>
      </c>
    </row>
  </sheetData>
  <autoFilter ref="A2:I124"/>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48"/>
    <col collapsed="false" customWidth="true" hidden="false" outlineLevel="0" max="3" min="3" style="1" width="110"/>
  </cols>
  <sheetData>
    <row r="1" customFormat="false" ht="30" hidden="false" customHeight="true" outlineLevel="0" collapsed="false">
      <c r="A1" s="2" t="s">
        <v>1393</v>
      </c>
      <c r="B1" s="2"/>
      <c r="C1" s="2"/>
    </row>
    <row r="2" customFormat="false" ht="30" hidden="false" customHeight="true" outlineLevel="0" collapsed="false">
      <c r="A2" s="3" t="s">
        <v>1976</v>
      </c>
      <c r="B2" s="3" t="s">
        <v>1977</v>
      </c>
      <c r="C2" s="3" t="s">
        <v>1395</v>
      </c>
    </row>
    <row r="3" customFormat="false" ht="19.5" hidden="false" customHeight="true" outlineLevel="0" collapsed="false">
      <c r="A3" s="4" t="s">
        <v>1978</v>
      </c>
      <c r="B3" s="4" t="s">
        <v>1611</v>
      </c>
      <c r="C3" s="25" t="s">
        <v>1613</v>
      </c>
    </row>
    <row r="4" customFormat="false" ht="33" hidden="false" customHeight="true" outlineLevel="0" collapsed="false">
      <c r="A4" s="4" t="s">
        <v>1978</v>
      </c>
      <c r="B4" s="4" t="s">
        <v>1979</v>
      </c>
      <c r="C4" s="25" t="s">
        <v>1397</v>
      </c>
    </row>
    <row r="5" customFormat="false" ht="19.5" hidden="false" customHeight="true" outlineLevel="0" collapsed="false">
      <c r="A5" s="4" t="s">
        <v>1978</v>
      </c>
      <c r="B5" s="4" t="s">
        <v>1495</v>
      </c>
      <c r="C5" s="25" t="s">
        <v>1496</v>
      </c>
    </row>
    <row r="6" customFormat="false" ht="19.5" hidden="false" customHeight="true" outlineLevel="0" collapsed="false">
      <c r="A6" s="4" t="s">
        <v>1980</v>
      </c>
      <c r="B6" s="4" t="s">
        <v>1981</v>
      </c>
      <c r="C6" s="25" t="s">
        <v>1601</v>
      </c>
    </row>
    <row r="7" customFormat="false" ht="19.5" hidden="false" customHeight="true" outlineLevel="0" collapsed="false">
      <c r="A7" s="4" t="s">
        <v>1980</v>
      </c>
      <c r="B7" s="4" t="s">
        <v>1503</v>
      </c>
      <c r="C7" s="25" t="s">
        <v>1604</v>
      </c>
    </row>
    <row r="8" customFormat="false" ht="19.5" hidden="false" customHeight="true" outlineLevel="0" collapsed="false">
      <c r="A8" s="4" t="s">
        <v>1980</v>
      </c>
      <c r="B8" s="4" t="s">
        <v>1982</v>
      </c>
      <c r="C8" s="25" t="s">
        <v>1983</v>
      </c>
    </row>
    <row r="9" customFormat="false" ht="42.75" hidden="false" customHeight="true" outlineLevel="0" collapsed="false">
      <c r="A9" s="4" t="s">
        <v>1980</v>
      </c>
      <c r="B9" s="4" t="s">
        <v>1606</v>
      </c>
      <c r="C9" s="25" t="s">
        <v>1609</v>
      </c>
    </row>
    <row r="10" customFormat="false" ht="19.5" hidden="false" customHeight="true" outlineLevel="0" collapsed="false">
      <c r="A10" s="4" t="s">
        <v>897</v>
      </c>
      <c r="B10" s="4" t="s">
        <v>1984</v>
      </c>
      <c r="C10" s="4" t="s">
        <v>1985</v>
      </c>
    </row>
    <row r="11" customFormat="false" ht="19.5" hidden="false" customHeight="true" outlineLevel="0" collapsed="false">
      <c r="A11" s="4" t="s">
        <v>897</v>
      </c>
      <c r="B11" s="4" t="s">
        <v>1508</v>
      </c>
      <c r="C11" s="25" t="s">
        <v>1510</v>
      </c>
    </row>
    <row r="12" customFormat="false" ht="42.75" hidden="false" customHeight="true" outlineLevel="0" collapsed="false">
      <c r="A12" s="4" t="s">
        <v>897</v>
      </c>
      <c r="B12" s="4" t="s">
        <v>1986</v>
      </c>
      <c r="C12" s="25" t="s">
        <v>1987</v>
      </c>
    </row>
    <row r="13" customFormat="false" ht="55.5" hidden="false" customHeight="true" outlineLevel="0" collapsed="false">
      <c r="A13" s="4" t="s">
        <v>1988</v>
      </c>
      <c r="B13" s="4" t="s">
        <v>1989</v>
      </c>
      <c r="C13" s="25" t="s">
        <v>1990</v>
      </c>
    </row>
    <row r="14" customFormat="false" ht="33" hidden="false" customHeight="true" outlineLevel="0" collapsed="false">
      <c r="A14" s="4" t="s">
        <v>1988</v>
      </c>
      <c r="B14" s="4" t="s">
        <v>1991</v>
      </c>
      <c r="C14" s="25" t="s">
        <v>1992</v>
      </c>
    </row>
    <row r="15" customFormat="false" ht="30" hidden="false" customHeight="true" outlineLevel="0" collapsed="false">
      <c r="A15" s="4" t="s">
        <v>1988</v>
      </c>
      <c r="B15" s="4" t="s">
        <v>1993</v>
      </c>
      <c r="C15" s="25" t="s">
        <v>1994</v>
      </c>
    </row>
    <row r="16" customFormat="false" ht="19.5" hidden="false" customHeight="true" outlineLevel="0" collapsed="false">
      <c r="A16" s="4" t="s">
        <v>1988</v>
      </c>
      <c r="B16" s="4" t="s">
        <v>1995</v>
      </c>
      <c r="C16" s="25" t="s">
        <v>1996</v>
      </c>
    </row>
    <row r="17" customFormat="false" ht="46.5" hidden="false" customHeight="true" outlineLevel="0" collapsed="false">
      <c r="A17" s="4" t="s">
        <v>1997</v>
      </c>
      <c r="B17" s="4" t="s">
        <v>1998</v>
      </c>
      <c r="C17" s="25" t="s">
        <v>1421</v>
      </c>
    </row>
    <row r="18" customFormat="false" ht="19.5" hidden="false" customHeight="true" outlineLevel="0" collapsed="false">
      <c r="A18" s="4" t="s">
        <v>1999</v>
      </c>
      <c r="B18" s="4" t="s">
        <v>2000</v>
      </c>
      <c r="C18" s="25" t="s">
        <v>2001</v>
      </c>
    </row>
    <row r="19" customFormat="false" ht="33" hidden="false" customHeight="true" outlineLevel="0" collapsed="false">
      <c r="A19" s="4" t="s">
        <v>1999</v>
      </c>
      <c r="B19" s="4" t="s">
        <v>2002</v>
      </c>
      <c r="C19" s="25" t="s">
        <v>2003</v>
      </c>
    </row>
    <row r="20" customFormat="false" ht="33" hidden="false" customHeight="true" outlineLevel="0" collapsed="false">
      <c r="A20" s="4" t="s">
        <v>1999</v>
      </c>
      <c r="B20" s="4" t="s">
        <v>2004</v>
      </c>
      <c r="C20" s="4" t="s">
        <v>2005</v>
      </c>
    </row>
    <row r="21" customFormat="false" ht="19.5" hidden="false" customHeight="true" outlineLevel="0" collapsed="false">
      <c r="A21" s="4" t="s">
        <v>1999</v>
      </c>
      <c r="B21" s="4" t="s">
        <v>2006</v>
      </c>
      <c r="C21" s="25" t="s">
        <v>2007</v>
      </c>
    </row>
    <row r="22" customFormat="false" ht="33" hidden="false" customHeight="true" outlineLevel="0" collapsed="false">
      <c r="A22" s="4" t="s">
        <v>1999</v>
      </c>
      <c r="B22" s="4" t="s">
        <v>2008</v>
      </c>
      <c r="C22" s="4" t="s">
        <v>2009</v>
      </c>
    </row>
    <row r="23" customFormat="false" ht="19.5" hidden="false" customHeight="true" outlineLevel="0" collapsed="false">
      <c r="A23" s="4" t="s">
        <v>1999</v>
      </c>
      <c r="B23" s="4" t="s">
        <v>2010</v>
      </c>
      <c r="C23" s="4" t="s">
        <v>2011</v>
      </c>
    </row>
    <row r="24" customFormat="false" ht="33" hidden="false" customHeight="true" outlineLevel="0" collapsed="false">
      <c r="A24" s="4" t="s">
        <v>1999</v>
      </c>
      <c r="B24" s="4" t="s">
        <v>2012</v>
      </c>
      <c r="C24" s="25" t="s">
        <v>2013</v>
      </c>
    </row>
    <row r="25" customFormat="false" ht="33" hidden="false" customHeight="true" outlineLevel="0" collapsed="false">
      <c r="A25" s="4" t="s">
        <v>1999</v>
      </c>
      <c r="B25" s="4" t="s">
        <v>2014</v>
      </c>
      <c r="C25" s="25" t="s">
        <v>2015</v>
      </c>
    </row>
    <row r="26" customFormat="false" ht="19.5" hidden="false" customHeight="true" outlineLevel="0" collapsed="false">
      <c r="A26" s="4" t="s">
        <v>1999</v>
      </c>
      <c r="B26" s="4" t="s">
        <v>2016</v>
      </c>
      <c r="C26" s="25" t="s">
        <v>2017</v>
      </c>
    </row>
    <row r="27" customFormat="false" ht="42.75" hidden="false" customHeight="true" outlineLevel="0" collapsed="false">
      <c r="A27" s="4" t="s">
        <v>1999</v>
      </c>
      <c r="B27" s="4" t="s">
        <v>2018</v>
      </c>
      <c r="C27" s="25" t="s">
        <v>1492</v>
      </c>
    </row>
    <row r="28" customFormat="false" ht="30" hidden="false" customHeight="true" outlineLevel="0" collapsed="false">
      <c r="A28" s="25" t="s">
        <v>2019</v>
      </c>
      <c r="B28" s="25" t="s">
        <v>2020</v>
      </c>
      <c r="C28" s="25" t="s">
        <v>2021</v>
      </c>
    </row>
    <row r="29" customFormat="false" ht="30" hidden="false" customHeight="true" outlineLevel="0" collapsed="false">
      <c r="A29" s="25" t="s">
        <v>2019</v>
      </c>
      <c r="B29" s="25" t="s">
        <v>2022</v>
      </c>
      <c r="C29" s="25" t="s">
        <v>2023</v>
      </c>
    </row>
    <row r="30" customFormat="false" ht="16.5" hidden="false" customHeight="true" outlineLevel="0" collapsed="false">
      <c r="A30" s="25" t="s">
        <v>2019</v>
      </c>
      <c r="B30" s="25" t="s">
        <v>2024</v>
      </c>
      <c r="C30" s="25" t="s">
        <v>2025</v>
      </c>
    </row>
    <row r="31" customFormat="false" ht="30" hidden="false" customHeight="true" outlineLevel="0" collapsed="false">
      <c r="A31" s="25" t="s">
        <v>2019</v>
      </c>
      <c r="B31" s="25" t="s">
        <v>2026</v>
      </c>
      <c r="C31" s="25" t="s">
        <v>2027</v>
      </c>
    </row>
    <row r="32" customFormat="false" ht="16.5" hidden="false" customHeight="true" outlineLevel="0" collapsed="false">
      <c r="A32" s="25" t="s">
        <v>2028</v>
      </c>
      <c r="B32" s="25" t="s">
        <v>2029</v>
      </c>
      <c r="C32" s="25" t="s">
        <v>2030</v>
      </c>
    </row>
    <row r="33" customFormat="false" ht="30" hidden="false" customHeight="true" outlineLevel="0" collapsed="false">
      <c r="A33" s="25" t="s">
        <v>2028</v>
      </c>
      <c r="B33" s="25" t="s">
        <v>2031</v>
      </c>
      <c r="C33" s="25" t="s">
        <v>2032</v>
      </c>
    </row>
    <row r="34" customFormat="false" ht="16.5" hidden="false" customHeight="true" outlineLevel="0" collapsed="false">
      <c r="A34" s="25" t="s">
        <v>2028</v>
      </c>
      <c r="B34" s="25" t="s">
        <v>2033</v>
      </c>
      <c r="C34" s="25" t="s">
        <v>2034</v>
      </c>
    </row>
    <row r="35" customFormat="false" ht="42.75" hidden="false" customHeight="true" outlineLevel="0" collapsed="false">
      <c r="A35" s="25" t="s">
        <v>2035</v>
      </c>
      <c r="B35" s="25" t="s">
        <v>1513</v>
      </c>
      <c r="C35" s="25" t="s">
        <v>2036</v>
      </c>
    </row>
    <row r="36" customFormat="false" ht="30" hidden="false" customHeight="true" outlineLevel="0" collapsed="false">
      <c r="A36" s="25" t="s">
        <v>2035</v>
      </c>
      <c r="B36" s="25" t="s">
        <v>1517</v>
      </c>
      <c r="C36" s="25" t="s">
        <v>2037</v>
      </c>
    </row>
    <row r="37" customFormat="false" ht="42.75" hidden="false" customHeight="true" outlineLevel="0" collapsed="false">
      <c r="A37" s="25" t="s">
        <v>2035</v>
      </c>
      <c r="B37" s="25" t="s">
        <v>2038</v>
      </c>
      <c r="C37" s="25" t="s">
        <v>2039</v>
      </c>
    </row>
    <row r="38" customFormat="false" ht="42.75" hidden="false" customHeight="true" outlineLevel="0" collapsed="false">
      <c r="A38" s="25" t="s">
        <v>2040</v>
      </c>
      <c r="B38" s="25" t="s">
        <v>1513</v>
      </c>
      <c r="C38" s="25" t="s">
        <v>2041</v>
      </c>
    </row>
    <row r="39" customFormat="false" ht="42.75" hidden="false" customHeight="true" outlineLevel="0" collapsed="false">
      <c r="A39" s="25" t="s">
        <v>2040</v>
      </c>
      <c r="B39" s="25" t="s">
        <v>1517</v>
      </c>
      <c r="C39" s="25" t="s">
        <v>2042</v>
      </c>
    </row>
    <row r="40" customFormat="false" ht="42.75" hidden="false" customHeight="true" outlineLevel="0" collapsed="false">
      <c r="A40" s="25" t="s">
        <v>2040</v>
      </c>
      <c r="B40" s="25" t="s">
        <v>1521</v>
      </c>
      <c r="C40" s="25" t="s">
        <v>2043</v>
      </c>
    </row>
    <row r="41" customFormat="false" ht="42.75" hidden="false" customHeight="true" outlineLevel="0" collapsed="false">
      <c r="A41" s="25" t="s">
        <v>2044</v>
      </c>
      <c r="B41" s="25" t="s">
        <v>1539</v>
      </c>
      <c r="C41" s="25" t="s">
        <v>2045</v>
      </c>
    </row>
    <row r="42" customFormat="false" ht="42.75" hidden="false" customHeight="true" outlineLevel="0" collapsed="false">
      <c r="A42" s="25" t="s">
        <v>2044</v>
      </c>
      <c r="B42" s="25" t="s">
        <v>1618</v>
      </c>
      <c r="C42" s="25" t="s">
        <v>2046</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2026-10-10T13:07:44Z</dcterms:created>
  <dc:creator>openpyxl</dc:creator>
  <dc:description/>
  <dc:language>en-US</dc:language>
  <cp:lastModifiedBy/>
  <dcterms:modified xsi:type="dcterms:W3CDTF">2026-10-13T07:08:46Z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